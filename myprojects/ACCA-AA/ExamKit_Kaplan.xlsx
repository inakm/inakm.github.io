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80" windowWidth="19140" windowHeight="7340" activeTab="7"/>
  </bookViews>
  <sheets>
    <sheet name="201" sheetId="1" r:id="rId1"/>
    <sheet name="202" sheetId="2" r:id="rId2"/>
    <sheet name="203" sheetId="3" r:id="rId3"/>
    <sheet name="204" sheetId="4" r:id="rId4"/>
    <sheet name="205" sheetId="5" r:id="rId5"/>
    <sheet name="206" sheetId="6" r:id="rId6"/>
    <sheet name="207" sheetId="7" r:id="rId7"/>
    <sheet name="212" sheetId="8" r:id="rId8"/>
    <sheet name="214" sheetId="10" r:id="rId9"/>
    <sheet name="215" sheetId="9" r:id="rId10"/>
    <sheet name="more" sheetId="11" r:id="rId11"/>
  </sheets>
  <calcPr calcId="144525"/>
</workbook>
</file>

<file path=xl/calcChain.xml><?xml version="1.0" encoding="utf-8"?>
<calcChain xmlns="http://schemas.openxmlformats.org/spreadsheetml/2006/main">
  <c r="E9" i="6" l="1"/>
  <c r="G29" i="3" l="1"/>
  <c r="E29" i="3"/>
  <c r="G26" i="3"/>
  <c r="E26" i="3"/>
  <c r="E30" i="2" l="1"/>
  <c r="E29" i="2"/>
</calcChain>
</file>

<file path=xl/sharedStrings.xml><?xml version="1.0" encoding="utf-8"?>
<sst xmlns="http://schemas.openxmlformats.org/spreadsheetml/2006/main" count="398" uniqueCount="295">
  <si>
    <t>Section B Questions</t>
  </si>
  <si>
    <t>Planning and Risk assessment</t>
  </si>
  <si>
    <t>Knight Electronics Co</t>
  </si>
  <si>
    <t>Audit Firm - H Co</t>
  </si>
  <si>
    <t>Customer - KE Co</t>
  </si>
  <si>
    <t xml:space="preserve">Briefly explain how each of the following sources of information will be used by Hercules &amp; Co to gain an understanding of Knight Electronics Co at the planning stage  of the audit: prior year audited financial statements, current year budgets and management accounts, prior year report to management, board meeting minutes 
and company website. </t>
  </si>
  <si>
    <t>Q</t>
  </si>
  <si>
    <t>Ans.</t>
  </si>
  <si>
    <t>Prior year audited Financial Statements</t>
  </si>
  <si>
    <t>Current Year Budget</t>
  </si>
  <si>
    <t xml:space="preserve">Prior Year report to management </t>
  </si>
  <si>
    <t>Board Meeting Minutes</t>
  </si>
  <si>
    <t>Company Website</t>
  </si>
  <si>
    <t xml:space="preserve">Describe EIGHT audit risks and explain the auditor's response to each risk in planning the audit of Knight Electronics Co. </t>
  </si>
  <si>
    <t>Ans</t>
  </si>
  <si>
    <t>KE Co is a new client of H Co, not familiar with accounting policies, incereased deduction risk on audit</t>
  </si>
  <si>
    <t>Less accuracy of opening balances of KE Co.</t>
  </si>
  <si>
    <t xml:space="preserve">Company is going for stock exchange listing, directors may try to pull profit or risk of asset overstatement </t>
  </si>
  <si>
    <t xml:space="preserve">Response </t>
  </si>
  <si>
    <t>Obtain clear and deep understanding of the company before starting the audit and make sure H Co has sufficient time and trained staff to countinue the audit, covering key areas of risk and risks of material misstatements</t>
  </si>
  <si>
    <t>Incerease audit process on openining balances will be needed</t>
  </si>
  <si>
    <t>Maintain professional sceptisim and stay alert on any manipulation throughout the audit</t>
  </si>
  <si>
    <t xml:space="preserve">Company has launched 3-yr service agreement, of which all revenue has been recorded as immeditaly, breaching IFRS 15 (Revenue Recogniation), overstated revenue and understated liabilites. </t>
  </si>
  <si>
    <t xml:space="preserve">Review a sample of customer and recalculate the deferred revenue portion to confirm accuracy </t>
  </si>
  <si>
    <t>Prices of components has been rising but inventory has still been valued at Cost, breaching the IAS 2 (Inventory), overstated inventory</t>
  </si>
  <si>
    <t>Perform a NRV test on  the inventory for sample of slow moving inventory to confirm the valuation of inventory</t>
  </si>
  <si>
    <t>Management has revalued the properties which may overstate the assets value</t>
  </si>
  <si>
    <t>Confirm with a external independent valuer about the revaluation done by management and verify the assumptions make sense</t>
  </si>
  <si>
    <t>Management has increase the usefull life of plant and equipment from 5 to 8 years, which may overstate the asset valuation and depreciation expense are understated</t>
  </si>
  <si>
    <t>Review the management decision and question the financial director on what basis they have decided to increase the usefull life and confirm the undertlying assumptions</t>
  </si>
  <si>
    <t>Recivables Collection Period has increased from 45 days to 75 d in absence of credit controller which puts the company's trade recivables at risk and might overstate the trade reciviables and increase risk of Bad Debts</t>
  </si>
  <si>
    <t>Review the company's year-end trade recivables and indentify significant overdue balances and question management how they will recover this balance</t>
  </si>
  <si>
    <t>During the year, a payroll clerk carried out fraudulent transactions at the company and there is a concern that additional frauds may have taken place.</t>
  </si>
  <si>
    <t>The client wants the audit to be completed one month after the year end.</t>
  </si>
  <si>
    <t>Describe substantive procedures the auditor should perform to obtain sufficient and appropriate audit evidence in relation to Knight Electronics Co's revenue.</t>
  </si>
  <si>
    <t>For a sample for sales invoices track back to their customer order and other supporting document</t>
  </si>
  <si>
    <t>Recalculate the deffered revenue for a sample for invoices in 3 year services agreement</t>
  </si>
  <si>
    <t>Check prior year-end sales invoices and current year-end invoices to perform cut-off testing</t>
  </si>
  <si>
    <t xml:space="preserve">Compare this year revenue metrics with prior years revenue metrics to spot any unsual spike in revenue and question, investigate with management </t>
  </si>
  <si>
    <t xml:space="preserve">Review credit notes just before the year-end to verify sales invoices has been canclled and written-down </t>
  </si>
  <si>
    <t>Describe procedures which should be undertaken during the audit of Knight Electronics Co as a result of the payroll fraud.</t>
  </si>
  <si>
    <t>Obtain breakdown of fraud and recalculate the total fraudulent amount paid out to evaluate the quantitative impact on wages expense</t>
  </si>
  <si>
    <t xml:space="preserve">Use CAATs to scan payroll database to spot any missing information or different employess </t>
  </si>
  <si>
    <t>Select a sample for actively paid employees and match their records with the official documents maintained by the HR Team</t>
  </si>
  <si>
    <t>Inquire with management about the payroll fraud and if they suspect any other fraud in the company</t>
  </si>
  <si>
    <t>Obtain the doumentation of internal control implemented after the fraud and confirm their effectiveness</t>
  </si>
  <si>
    <t>Obtain the breakdown of all the control Deficiencies that led to this fraud and confirm if appropirate action as been taken</t>
  </si>
  <si>
    <t>Audit Firm - Indigo &amp; Co</t>
  </si>
  <si>
    <t>Client - Lapis Co</t>
  </si>
  <si>
    <t xml:space="preserve">1st July - 30th Sep </t>
  </si>
  <si>
    <t>In line with ISA 220 Quality Management for an Audit of Financial Statements, describe the auditor's responsibilities in relation to supervising and reviewing the work performed during the external audit of Lapis Co.</t>
  </si>
  <si>
    <t xml:space="preserve">Engegament Partner hold the ultimate responsible for direction, supervision, performance of audit engagment </t>
  </si>
  <si>
    <t xml:space="preserve"> Monitor progress of audit engagement agaisnt the audit plan to ensure adequate resource and time has been allocated</t>
  </si>
  <si>
    <t xml:space="preserve"> Consider the capabitlites &amp; competence of members invloved in enagagment team</t>
  </si>
  <si>
    <t xml:space="preserve"> Directing the team members on the significant matters and issues arriving during the audit </t>
  </si>
  <si>
    <t xml:space="preserve"> Modifying the planned approach where needed</t>
  </si>
  <si>
    <t>Supervising</t>
  </si>
  <si>
    <t>Review</t>
  </si>
  <si>
    <t>Review work performed during the audit and ensure it complies with the proffesonal standards</t>
  </si>
  <si>
    <t>Review any significant judgemental areas which has material impact</t>
  </si>
  <si>
    <t xml:space="preserve">Confirm the audit performed is supporeted by the suffient and appropirate audit evidence </t>
  </si>
  <si>
    <t xml:space="preserve">Ensure all work performed has been documented properly as per required  </t>
  </si>
  <si>
    <t>Describe EIGHT audit risks and explain the auditor’s response to each risk in planning the audit of Lapis Co.</t>
  </si>
  <si>
    <t xml:space="preserve">PBT Materlity (5%) </t>
  </si>
  <si>
    <t>m</t>
  </si>
  <si>
    <t>Revenue Materility</t>
  </si>
  <si>
    <t>Audit Risk</t>
  </si>
  <si>
    <t>Audit Response</t>
  </si>
  <si>
    <t>Lapis Co has responsibility for goods in transit from the point of dispatch by the supplier and it takes 6 weeks for good to be in transit from the supplier, so there is increased chances of year-end inventory and trade payables being missated if cut-off transactions are incorrect</t>
  </si>
  <si>
    <t xml:space="preserve">Perform the cut-off testing of the sample of purchases dispatched 6 week before and after the year end </t>
  </si>
  <si>
    <t>A significant wholesale customer has recently informed Lapis that it is experiencing financial difficulties, however the finance director indicated that an allowance for receivables is not required in the year‐end financial statements, it may result in overstated trade recivables and understated expenses.</t>
  </si>
  <si>
    <t>Review aging anaylsis of that specific customer balance, discuss the issue with management with financial status and request for allowance for unpaid balance</t>
  </si>
  <si>
    <t>In December 20X4 Lapis Co changed one of its television speaker suppliers to a cheaper alternative. This has resulted in an increase in warranty claims for television speaker deficiencies, but provision for year is same as last year, understating the provision and overstating profit</t>
  </si>
  <si>
    <t>Review the warrently claims for that speakers and obtain the breakdown of the assumptions used by the management and recalculate the provision amount with increase failure rate</t>
  </si>
  <si>
    <t xml:space="preserve">The audit manager has discussed with the finance director that the external audit team may rely on the controls testing which is carried out by the internal audit department, If Internal Auditor are incompetenece and lacks objectivity, it may increase the chance of External Audit risk </t>
  </si>
  <si>
    <t xml:space="preserve">Review the works done by the Interna Auditors, access their competence, objectivity and independence, also obtain their working papers and reports and re-perform those on a sample for work </t>
  </si>
  <si>
    <t xml:space="preserve">In May 20X5, a payroll clerk was dismissed after it was discovered that they had carried out a number of fraudulent transactions. Controls were implemented after the fraud, however there are chances of misstated payroll expenses still be before fraud </t>
  </si>
  <si>
    <t>Obtain detail breakdown of the fraud and what controls have been implemented, and perform test of control on sample of new control implemented, and recalculate the payroll expenses using the records from the HR deparments</t>
  </si>
  <si>
    <t>The finance director plans to omit directors' names, contradicting local statutory requirements. While likely immaterial by value, this represents a material statutory breach and disclosure misstatement.</t>
  </si>
  <si>
    <t xml:space="preserve">Discuss with the management about this topic and request them to modify their disclosures to comply with the legal local laws, Verify if management has implelmented the changes if not go modify the audit report </t>
  </si>
  <si>
    <t>All 16m of development costs for a smart TV model have been capitalised. If any of these costs were incurred during the research phase, or if criteria under IAS 38 are unmet, intangible assets are overstated.</t>
  </si>
  <si>
    <t>Obtain the breakdown of all expense and vouch sample of expenses with supplier invoices , and other supporting documents, Verify no pure research cost has been included</t>
  </si>
  <si>
    <t>A new 2.5m bank loan was obtained in April 20X5. There is a risk that the loan splits between current and non-current liabilities are incorrect, or that interest expenses have not been properly accrued.</t>
  </si>
  <si>
    <t>Inspect the signed bank loan agreement to confirm the loan details and terms, recalculate the intrest expense &amp; match it with the reported amount in FS</t>
  </si>
  <si>
    <t>Lapis</t>
  </si>
  <si>
    <t xml:space="preserve">Audit Firm </t>
  </si>
  <si>
    <t>Crow &amp; Co</t>
  </si>
  <si>
    <t>Client</t>
  </si>
  <si>
    <t>Magpie Co</t>
  </si>
  <si>
    <t>Magpie</t>
  </si>
  <si>
    <t>Explain the PURPOSE of an audit engagement letter and list FOUR items which should be included in an audit engagement letter.</t>
  </si>
  <si>
    <t xml:space="preserve">The Primary purpose of audit engagement letter is to document and confirm the auditor's acceptance of appointment </t>
  </si>
  <si>
    <t>Outline objective and scope of audit</t>
  </si>
  <si>
    <t>Establish framework to avoid misunderstanding between client and auditor</t>
  </si>
  <si>
    <t>4 Items Included:</t>
  </si>
  <si>
    <t>Objective and Scope of Audit</t>
  </si>
  <si>
    <t>Responsiblities of Auditor</t>
  </si>
  <si>
    <t xml:space="preserve">Responsiblities of Management </t>
  </si>
  <si>
    <t>Identification of applicable Fin reporting framework used to create FS</t>
  </si>
  <si>
    <t>Using the table below, calculate the following TWO ratios, for BOTH years, to assist you in planning the audit of Magpie Co.</t>
  </si>
  <si>
    <t xml:space="preserve">Op Profit Margin </t>
  </si>
  <si>
    <t>A</t>
  </si>
  <si>
    <t>F</t>
  </si>
  <si>
    <t>Payables Payment Period</t>
  </si>
  <si>
    <t>d</t>
  </si>
  <si>
    <t>Using the information provided and the ratios calculated, describe SEVEN audit risks and explain the auditor's response to each risk, in planning the audit of Magpie Co.</t>
  </si>
  <si>
    <t>All exp has been capalized in PPE, where general expense should be treated as expenses, PPE might be overstated</t>
  </si>
  <si>
    <t>Obtain breakdown of the total expenditure and vouch the sample of invoices with the suppliers documents and confim only structual impovements are capalized</t>
  </si>
  <si>
    <t>AR</t>
  </si>
  <si>
    <t>A Risk</t>
  </si>
  <si>
    <t xml:space="preserve">New sale system has been introduced replacing the old one, there might be migration error or bug issues in the new software unindentified </t>
  </si>
  <si>
    <t>Use IT specilist to test the control of migration, and ensure all transaction are recorded</t>
  </si>
  <si>
    <t>The new system has deducted cash shortage in stores which managenement ignoring as of small amount, may result in misstatement of Cash Balance</t>
  </si>
  <si>
    <t>Verify the cash reconciliation logs across the stores, and calculate the total mismatch and verify the balance with bank statement, to check for errors</t>
  </si>
  <si>
    <t xml:space="preserve">Suppliers balances are higher than the magpie ledger's which can be due to the accounting errors or missing purchase invoices </t>
  </si>
  <si>
    <t>Select the sample of supplier accounts and reperform the reconciliation and inspect if all transaction have been recorded correctly</t>
  </si>
  <si>
    <t xml:space="preserve">Contaminted soil of value $0.1m which cannot be sold, Inventory must be written down, </t>
  </si>
  <si>
    <t>Enquire about the test result and physically check if plant can be sold at discoount and manually re caculate the value of the inventory after the test</t>
  </si>
  <si>
    <t>Revenue dropped by 15%, cash fell from $4.2m to $1.3m, and operating margin fell to 1.8%. The company faces financial distress. This creates a risk that the going concern basis of preparation is inappropriate.</t>
  </si>
  <si>
    <t>Review the board meetings on how management is planning to grow their revenue, and review bank agreeements if any breaches are there for loan</t>
  </si>
  <si>
    <t>ESK</t>
  </si>
  <si>
    <t xml:space="preserve">Auditor </t>
  </si>
  <si>
    <t xml:space="preserve">Client </t>
  </si>
  <si>
    <t>New</t>
  </si>
  <si>
    <t>Describe the PRECONDITIONS for an audit that Bannock &amp; Co should have established prior to accepting the audit of Esk Co.</t>
  </si>
  <si>
    <t xml:space="preserve">Bannock Co </t>
  </si>
  <si>
    <t>Determine which financial reporting framework is being used by the Esk Co and accounting policies used by Esk Co</t>
  </si>
  <si>
    <t>Obtain agreement from the managmenet that they agree to ackowledges its reposiblities for:</t>
  </si>
  <si>
    <t xml:space="preserve">Prepartion of FS, Desiging and Implementation of Internal Controls, Access to provide all information asked by the audit team </t>
  </si>
  <si>
    <t>Using the table below, calculate the following FOUR ratios, for BOTH years, to assist you in planning the audit of Esk Co.</t>
  </si>
  <si>
    <t>Gross Profit Margin</t>
  </si>
  <si>
    <t>Inv Holding Period</t>
  </si>
  <si>
    <t>Receviables Collection Period</t>
  </si>
  <si>
    <t>Paybles payment period</t>
  </si>
  <si>
    <t>20X4</t>
  </si>
  <si>
    <t>20X5</t>
  </si>
  <si>
    <t>Using the information provided and the ratios calculated, describe EIGHT audit risks and explain the auditor's response to each risk, in planning the audit of Esk Co.</t>
  </si>
  <si>
    <t xml:space="preserve">Managmenet has recorded all of 1.1m as other recivables in current assets, but the inssurer has not confirmed yet, overstated the current assets </t>
  </si>
  <si>
    <t>Question management the reason behind the action taken to classify all amount in current assets, and verify the logic &amp; assumptions behind the decision</t>
  </si>
  <si>
    <t xml:space="preserve">If unsatisfied by the decision of management, request management to reclassify the recivieables as contigent assets rather than current asset </t>
  </si>
  <si>
    <t xml:space="preserve">Damage of Inventory due to the fire may have risk of Inventory being overstated </t>
  </si>
  <si>
    <t>Obtain the breakdown of damaged inventory and match with the inventory count sheet and recalculate the total value of written down value for inventory due to fire</t>
  </si>
  <si>
    <t xml:space="preserve">Few supplier invoices has been mis-coded and omitted from payment ledger, this clearly states that liabilities &amp; expenses has been understated </t>
  </si>
  <si>
    <t>Enquire from the management what internal controls has been implemented after this ommision error and how the ommited invoices has been adjusted, also perform a cut-off testing</t>
  </si>
  <si>
    <t xml:space="preserve">All cost of patent has been captalized which has over stated the assets and understated the admin expenses </t>
  </si>
  <si>
    <t>Obtain the breakdown of all expenses incurred in patent, and request management to reclassify the expenses in admin expeses and capatalization</t>
  </si>
  <si>
    <t>Obtain the breakdown of the amortization calculation of the patents and manualy recalculate the amortization amount to verify its accuracy</t>
  </si>
  <si>
    <t xml:space="preserve">The patent provides rights for only 4 year, there is a risk of amortization of patents may calculated incorrectly, overstating the assets </t>
  </si>
  <si>
    <t>Esk Co obtained bank loan from the for 5 yrs where first installment has already been made, there is a risk of misclassification of installment in current and non-current period.</t>
  </si>
  <si>
    <t xml:space="preserve">Confirm with the financial statements that installments has been correctly classified </t>
  </si>
  <si>
    <t xml:space="preserve">Esk Co's credit controller is on leave and been replaced by an unexpreienced manager, there is a risk of rising of the customer outstandings and bad debt allowance </t>
  </si>
  <si>
    <t xml:space="preserve">Inspect the old aged-outstanding balance and analuze long due payments and question management how they are planning to recover the amount and if bad debt allowance is sufficient </t>
  </si>
  <si>
    <t>The fine amount has not been recorded in provision by the directors, understating the liablities</t>
  </si>
  <si>
    <t>Enquire from the management about the reson behind not recording the provision, confirm the logic behind, if unsatified request management to record provision</t>
  </si>
  <si>
    <t>Describe substantive procedures the auditor should perform to obtain sufficient and appropriate audit evidence in relation to Esk Co’s trade receivables.</t>
  </si>
  <si>
    <t>Send direct confirmation letters to a sample of customers to verify year-end balances</t>
  </si>
  <si>
    <t>Reconcile any exceptions or disputed balances reported by customers back to supporting invoices.</t>
  </si>
  <si>
    <t>For non-responses, vouch year-end balances to original customer orders and signed goods dispatched notes (GDNs).</t>
  </si>
  <si>
    <t>Recalculate the aging on the aged receivables report to ensure debts are placed in the correct time brackets.</t>
  </si>
  <si>
    <t>Review credit notes issued after the year-end to ensure current-year revenue and receivables were not artificially inflated.</t>
  </si>
  <si>
    <t>Review and challenge the adequacy of the bad debt allowance against invoices outstanding for more than 90 days.</t>
  </si>
  <si>
    <t>PEACH</t>
  </si>
  <si>
    <t>Auditor</t>
  </si>
  <si>
    <t xml:space="preserve">Audit Client </t>
  </si>
  <si>
    <t>Apricot Co</t>
  </si>
  <si>
    <t>Peach Co</t>
  </si>
  <si>
    <t>Describe EIGHT audit risks and explain the auditor’s response to each risk in planning the audit of Peach Co.</t>
  </si>
  <si>
    <t>Peach Co has adopted a new accounting software, there might be risk of transferring data to the new system and also managmenet has decided not to testing after the implementing the software</t>
  </si>
  <si>
    <t xml:space="preserve">Request management to complete post-implementing testing, also manully perform testing the between old &amp; new system </t>
  </si>
  <si>
    <t>Captalized amount of $0.8 is incorrect and Peach Co has not yet recived the approval from the local body yet, overstating the assets</t>
  </si>
  <si>
    <t xml:space="preserve">Obtain detailed breakdown and Enquire from management why the amount has capatilzed and request them revert back </t>
  </si>
  <si>
    <t xml:space="preserve">Peach Co has some slow moving stocks of value $227,000 may be required to be written down as Inventory must be carried at lower of cost or NRV, overstating the inventory value </t>
  </si>
  <si>
    <t>Obtain the calculation of Inventory values for these specific items, and review other cost that will be incurred in future, and comfim if value written down is required</t>
  </si>
  <si>
    <t>Expenses like installation and testing cost has been included in salary expense, rather than capatilizing the amount into PPE, overtating salary expnense account and understating assets</t>
  </si>
  <si>
    <t xml:space="preserve">Obtain the breakdown of salary expense account, confirm the missclasification and request accounting team make adjustment entry </t>
  </si>
  <si>
    <t>Useful life of assets was increased despite selling the old assets at loss, indicitng assets may require impairment, there may be risk of overstating assets</t>
  </si>
  <si>
    <t>Obtain the breakdown of calculation of the increase in useful life of assets, and enqire from management reason behind increasing the useful life</t>
  </si>
  <si>
    <t>A fin team member has been fired due to fraud, there is a risk of missing assets, overstating assets</t>
  </si>
  <si>
    <t>Evalute the findings from internal audit and enquire from management all internal control applied, and perform test of control to check if internal control is working fine</t>
  </si>
  <si>
    <t>Peach Co has breached a contract &amp; lawyer of Peach has confirmed the probable fine amount, but no provision has been created yet</t>
  </si>
  <si>
    <t>Request management to recognise provision for legal dispute and review board meetings related to dispute</t>
  </si>
  <si>
    <t>Describe Apricot &amp; Co’s responsibilities in relation to the prevention and detection of fraud and error.</t>
  </si>
  <si>
    <t>Management must design and implement effective and efficient internal control</t>
  </si>
  <si>
    <t>Audit team should must maintain professional spektism throght out the audit</t>
  </si>
  <si>
    <t>Obtain reasonable assurance from the management that FS are free material mistatements</t>
  </si>
  <si>
    <t>There might be familiarity threat as auditor is 15 yrs old, safegaurd: rotate: senior audit employees, and appoint EQR to review audit files</t>
  </si>
  <si>
    <t>Accepting luxury weekends from clients may ccreate self intrest threat, Safegaurd: decline such offers</t>
  </si>
  <si>
    <t>Identify and explain TWO ethical threats which may affect the independence of Apricot &amp; Co audit of Peach Co; and</t>
  </si>
  <si>
    <t>Familiarity Threat: Auditor Apricot &amp; Co and audit cliuent Peach Co has a long association for over 15 years, this may lead to long relationship between the audit team and partners, and the managmenet and staff of PEACH Co.</t>
  </si>
  <si>
    <t>Self-Review Threat: PEACH Co has approach auditor to help indentify potential acquisition targets, if audit firm accepts this non-audit services, it will then themselves have to review the tranaction and event, creating self review threat</t>
  </si>
  <si>
    <t>For each threat, recommend an appropriate safeguard to reduce the threat to an acceptable level.</t>
  </si>
  <si>
    <t>Hospitality - Luxury Hotel</t>
  </si>
  <si>
    <t>Decline, only trivial gifts to be accepted</t>
  </si>
  <si>
    <t>Contigent Fees</t>
  </si>
  <si>
    <t xml:space="preserve">Reject the fees strcuture, and rengotiate with management for fees based on time and efforts involved </t>
  </si>
  <si>
    <t>Familiarity Threat</t>
  </si>
  <si>
    <t>Rotote the engagement partner and senior audit staffs, and get the final audit reviewed by EQR</t>
  </si>
  <si>
    <t xml:space="preserve">Self-Review Theat from advice on acqusion work </t>
  </si>
  <si>
    <t>Use complete different team for this Non-audit work, If service is metrial to audit, decline</t>
  </si>
  <si>
    <t>Substantive Proceduers on obtaining sufficient &amp; appropriate audit evidence in relation to Peach Co’s development expenditure.</t>
  </si>
  <si>
    <t>Select a sample of documents of capatilized development expenditure &amp; vouch them to the supplier invoices and recipts, to confirm acutal costs</t>
  </si>
  <si>
    <t>Trace the internal staff capatilized cost with payroll records and timesheet to confirm the accuracy</t>
  </si>
  <si>
    <t xml:space="preserve">Obtain the breakdown of expenditure and ensure the capatilization meets the IAS 38 criteria </t>
  </si>
  <si>
    <t>Inspect the research files and confirm all research related expense have been expensed in P&amp;L not capatilized</t>
  </si>
  <si>
    <t>Perform cut-off testing on before and after the year end expenditure transcations to confirm expenditure has been recorded in correct period</t>
  </si>
  <si>
    <t>CORLEY APPLIANCES</t>
  </si>
  <si>
    <t xml:space="preserve">Describe the PRECONDITIONS required for an audit. </t>
  </si>
  <si>
    <t>Woordward Co</t>
  </si>
  <si>
    <t xml:space="preserve">According to IAS 20 </t>
  </si>
  <si>
    <t>Ensure Fincial Reporting Framework has been applied in prepration is acceptable</t>
  </si>
  <si>
    <t>Obtain ackowledgement from the management about their responsibility in prepration of FS and implementing effective internal control system</t>
  </si>
  <si>
    <t>Obtain ackowledgement from management that they will provide unrestricted access to auditor without any restrictions</t>
  </si>
  <si>
    <t>Describe SEVEN audit risks and explain the auditor’s response to each risk in planning the audit of Corley Appliances Co.</t>
  </si>
  <si>
    <t xml:space="preserve">Cutomers have 28 days return policy, revenue may be overstated if provision for future is returns is not made </t>
  </si>
  <si>
    <t>Enquire from management and obtain breakdown of last year sales-return data and match with provision if its sufficient enough</t>
  </si>
  <si>
    <t xml:space="preserve">Management is planning to reduce the provision, there may be risk of understating the provision if product defects are still present </t>
  </si>
  <si>
    <t>Enquire with managment about the reason behind the reducing the provision, &amp; obtain last year data to verify claims of management</t>
  </si>
  <si>
    <t xml:space="preserve">Goods in transit take upto 1 month, there might be risk of recording invesntory in different period </t>
  </si>
  <si>
    <t xml:space="preserve">Perform cut-off testing with goods in transit and confirm the inventory is recorded in correct accounting period </t>
  </si>
  <si>
    <t xml:space="preserve">Inventory valuation for all 20 branch is $0.93m, there might be risk of inventory needed to be written down value, for slow moving inventories, </t>
  </si>
  <si>
    <t>Obtain the breakdown of Inventory calculations, and calculate the cost of inventory against cost to NRV</t>
  </si>
  <si>
    <t xml:space="preserve">Oustanding days has been increased to 55 days, but no increase in bad debt allowance, this may result in overstatment of Reciviables </t>
  </si>
  <si>
    <t>Review the outstanding list of reciviables and equire management about the statuses, and how they are planning to get back the money</t>
  </si>
  <si>
    <t>PPE capatlization includes $0.1 staff tranining cost, according to IAS 16 trainng must be expensed, overstating the assets</t>
  </si>
  <si>
    <t>Request management to remove the staff training cost from the capatilization</t>
  </si>
  <si>
    <t>Define the term ‘professional scepticism’ and explain TWO examples from the audit of Corley Appliances Co where the auditor should apply professional scepticism.</t>
  </si>
  <si>
    <t xml:space="preserve">It means the auditor should always maintain their questionining mind and be alert duing the audit, and critical assement </t>
  </si>
  <si>
    <t>Challegining the managmenet claim's that product is very high standards</t>
  </si>
  <si>
    <t>Questioning the credit controller's claim to increase the collection days rising to 55 days</t>
  </si>
  <si>
    <t>Hart</t>
  </si>
  <si>
    <t>Blackberry</t>
  </si>
  <si>
    <t>Centipede</t>
  </si>
  <si>
    <t>Hurling</t>
  </si>
  <si>
    <t>Teal &amp; Co</t>
  </si>
  <si>
    <t>Yang &amp; Co</t>
  </si>
  <si>
    <t>Corondo Co</t>
  </si>
  <si>
    <t>Survival Solutions Co</t>
  </si>
  <si>
    <t>Latest past paper</t>
  </si>
  <si>
    <t xml:space="preserve">Hart Co </t>
  </si>
  <si>
    <t xml:space="preserve">Morph Co </t>
  </si>
  <si>
    <t>Explain the benefits of audit planning.</t>
  </si>
  <si>
    <t xml:space="preserve">Correct allocation of auditor's resources, time and value to material and important areas for effective and efficient audit </t>
  </si>
  <si>
    <t xml:space="preserve">It helps audit team to identify &amp; resolve issues early </t>
  </si>
  <si>
    <t xml:space="preserve">Helps in assiging audit duties correctly based on their competence </t>
  </si>
  <si>
    <t>Describe EIGHT audit risks and explain the auditor’s response to each risk in planning the audit of Hart Co.</t>
  </si>
  <si>
    <t>Bonuses has been increased based on the profit forcasted, this may create risk of management to overstate the profits</t>
  </si>
  <si>
    <t>Auditors should maintain high professional skeptimism, and invest extra time in profit realted elemnets in FS</t>
  </si>
  <si>
    <t>Playground control is transferred upon completetion, there may be risk of overstatement of revnue and understatement of WIP</t>
  </si>
  <si>
    <t xml:space="preserve">Review the contract details of sample of customers and verify the revenue calculated and recorded in FS </t>
  </si>
  <si>
    <t xml:space="preserve">The audit team is only attending 5 out of 16 inventories, there may be risk of inventory valuation errors in other leftover inventories </t>
  </si>
  <si>
    <t>Request management decision for other inventory visit which were left if pratical, perform alternative procedures to confirm valuation</t>
  </si>
  <si>
    <t xml:space="preserve">The provision was cut from 6 to 2% despite no changes in raw material supplied, this may result in understatement of provision </t>
  </si>
  <si>
    <t>Enquire from management about the decrease in provison</t>
  </si>
  <si>
    <t>The amount of 1.2m is capatilized if criteria for IAS 38 is not met, assets may be overstated and expneses may be understated</t>
  </si>
  <si>
    <t xml:space="preserve">Discuss project details with experts and confim it meets the IAS 38 criteria </t>
  </si>
  <si>
    <t>Payroll services is outsourced it may create audit risk of cannot verify details the controls and report of outsrouced agency</t>
  </si>
  <si>
    <t xml:space="preserve">Contact independent auditor of Chase Co and obtain Type 2 report to evalute effectiveness of internal controls </t>
  </si>
  <si>
    <t>Describe substantive procedures the auditor should perform to obtain sufficient and appropriate audit evidence in relation to Hart Co’s directors’ bonuses.</t>
  </si>
  <si>
    <t>Recalculate the director bonuses based on profit forecasted to confirm the mathmatical accuracy</t>
  </si>
  <si>
    <t>Agree the amount with the contract of employment and services and other relevant documents</t>
  </si>
  <si>
    <t>Review board meetings to comfirm the bonus amount has been formaly apporved by board members</t>
  </si>
  <si>
    <t>Verify the disclusres and confirm it is as per local laws to ensure compliance</t>
  </si>
  <si>
    <t>Explain the safeguards which Morph &amp; Co should implement to ensure that this conflict of interest is appropriately managed.</t>
  </si>
  <si>
    <t>Assign completely different audit team for Hart Co and its competitor</t>
  </si>
  <si>
    <t>Require all audit team members to sign a formal document, banning the share of any audit information</t>
  </si>
  <si>
    <t xml:space="preserve">Notify both of the clients about the firm is involved in auditing Hart Co and its competitor &amp; signed conscent from both parties to counitnue audit engagment </t>
  </si>
  <si>
    <t>Appoint an Independent EQR to perform engagment quaility review to monitor effectiveness of safegaurds</t>
  </si>
  <si>
    <t>Loganberry Co</t>
  </si>
  <si>
    <t>Describe Loganberry &amp; Co’s responsibilities in relation to the prevention and detection of fraud and error.</t>
  </si>
  <si>
    <t>They can achive this by implementing effective internal controls and fostering culture of ethcial values</t>
  </si>
  <si>
    <t>It’s the primary duty of Blackberry, management for prevention of fraud and errors</t>
  </si>
  <si>
    <t>not Auditor</t>
  </si>
  <si>
    <t>Loganberry Co 's responsibility is to promote reasonable assurance that FS is correct from any material miststaments</t>
  </si>
  <si>
    <t xml:space="preserve">Due to limitation of Inherit Limitation its impossible to undected misstatements from FS </t>
  </si>
  <si>
    <t>The audit team must always maintain professional skeptism acorss doing the audit</t>
  </si>
  <si>
    <t xml:space="preserve">Audit Team should must create a audit plan in order to reduce inherit limiation and optimium allocation of resources </t>
  </si>
  <si>
    <t>If any fraud or error is detected, auditor should must report it to timerly basis to  TCWG</t>
  </si>
  <si>
    <t>Describe EIGHT audit risks and explain the auditor’s response to each risk in planning the audit of Blackberry Co.</t>
  </si>
  <si>
    <t>Inventory included general overheads which should be in expense account, it overstated the inventory and profit</t>
  </si>
  <si>
    <t>Obtain and review the breakdown of inventory valueation and ensure all general admin expense is exculded from inventory cost</t>
  </si>
  <si>
    <t>The share has been issued on premium amount, there might be risk of incorrect split between nominal amount and share premium amount</t>
  </si>
  <si>
    <t>Recalculate the split and comfirm with the share issue terms and FS</t>
  </si>
  <si>
    <t xml:space="preserve">Employees has manupluated the customer reciepts, there is a risk of historical balance may incorrect </t>
  </si>
  <si>
    <t>Increase sample size of reciviables and obtain direct confirmation from the customer to verify the balance</t>
  </si>
  <si>
    <t>Recivales balance were inaccurate due to fraud, receviable may be misstated due to incorrect openining balance</t>
  </si>
  <si>
    <t>Inspect the data transfer reconcilliation on 30th june and confirm the amount</t>
  </si>
  <si>
    <t xml:space="preserve"> No supplier statement or payables reconciliations were performed after June. </t>
  </si>
  <si>
    <t>Perform extensive supplier statement reconciliations at year-end and test a larger sample of post-year-end cash payments for unrecorded invoices.</t>
  </si>
  <si>
    <t>Blackberry Co plans to recognize a $360,000 asset based on a liquidator's announcement. Per IAS 37, contingent assets can only be recognized if virtually certain, otherwise assets and profits are overstated.</t>
  </si>
  <si>
    <t>Review official correspondence from the liquidator to evaluate if the 40% payout is virtually certain or merely probable.</t>
  </si>
  <si>
    <t>Describe substantive procedures the auditor should perform to obtain sufficient and appropriate audit evidence in relation to COMPLETENESS of Blackberry Co’s trade payables.</t>
  </si>
  <si>
    <t>Reconcile a sample year-end supplier statements against the trade payables ledger balance</t>
  </si>
  <si>
    <t xml:space="preserve">Review cash book statements and bank statements made before and after the year -end with payables ledger balance to confirm cut-off </t>
  </si>
  <si>
    <t xml:space="preserve">Calculate trade payables period of current year and compare it with the last year period to identify any spikes </t>
  </si>
  <si>
    <t>Send direct confirmation to the sample of suppliers to confirm their balance in trade payables ladger balance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</si>
</sst>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5" x14ac:knownFonts="1">
    <font>
      <sz val="11"/>
      <color theme="1"/>
      <name val="Calibri"/>
      <family val="2"/>
      <scheme val="minor"/>
    </font>
    <font>
      <b/>
      <sz val="11"/>
      <color theme="1"/>
      <name val="Calibri"/>
      <family val="2"/>
      <scheme val="minor"/>
    </font>
    <font>
      <b/>
      <sz val="14"/>
      <color theme="1"/>
      <name val="Calibri"/>
      <family val="2"/>
      <scheme val="minor"/>
    </font>
    <font>
      <b/>
      <sz val="28"/>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4" fillId="0" borderId="0" applyFont="0" applyFill="0" applyBorder="0" applyAlignment="0" applyProtection="0"/>
  </cellStyleXfs>
  <cellXfs count="11">
    <xf numFmtId="0" fontId="0" fillId="0" borderId="0" xfId="0"/>
    <xf numFmtId="0" fontId="1" fillId="0" borderId="0" xfId="0" applyFont="1"/>
    <xf numFmtId="0" fontId="0" fillId="0" borderId="0" xfId="0" applyAlignment="1"/>
    <xf numFmtId="0" fontId="1" fillId="0" borderId="0" xfId="0" applyFont="1" applyAlignment="1">
      <alignment horizontal="right"/>
    </xf>
    <xf numFmtId="164" fontId="0" fillId="0" borderId="0" xfId="1" applyNumberFormat="1" applyFont="1"/>
    <xf numFmtId="0" fontId="0" fillId="0" borderId="0" xfId="0" applyFont="1"/>
    <xf numFmtId="0" fontId="3" fillId="0" borderId="0" xfId="0" applyFont="1" applyAlignment="1">
      <alignment horizontal="center" vertical="center" wrapText="1"/>
    </xf>
    <xf numFmtId="0" fontId="2" fillId="0" borderId="0" xfId="0" applyFont="1" applyAlignment="1">
      <alignment horizontal="center"/>
    </xf>
    <xf numFmtId="0" fontId="1" fillId="0" borderId="0" xfId="0" applyFont="1" applyAlignment="1">
      <alignment horizontal="left" wrapText="1"/>
    </xf>
    <xf numFmtId="0" fontId="1" fillId="0" borderId="0" xfId="0" applyFont="1" applyAlignment="1">
      <alignment horizontal="left" vertical="center" wrapText="1"/>
    </xf>
    <xf numFmtId="0" fontId="0" fillId="0" borderId="0" xfId="0" applyFont="1" applyAlignment="1">
      <alignment horizontal="lef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N67"/>
  <sheetViews>
    <sheetView showGridLines="0" topLeftCell="A24" workbookViewId="0">
      <selection activeCell="G11" sqref="G11"/>
    </sheetView>
  </sheetViews>
  <sheetFormatPr defaultRowHeight="14.5" x14ac:dyDescent="0.35"/>
  <cols>
    <col min="1" max="1" width="4.36328125" customWidth="1"/>
  </cols>
  <sheetData>
    <row r="2" spans="2:10" ht="43.5" customHeight="1" x14ac:dyDescent="0.35">
      <c r="B2" s="6" t="s">
        <v>0</v>
      </c>
      <c r="C2" s="6"/>
      <c r="D2" s="6"/>
      <c r="E2" s="6"/>
      <c r="F2" s="6"/>
      <c r="G2" s="6"/>
      <c r="H2" s="6"/>
    </row>
    <row r="3" spans="2:10" x14ac:dyDescent="0.35">
      <c r="B3" s="6"/>
      <c r="C3" s="6"/>
      <c r="D3" s="6"/>
      <c r="E3" s="6"/>
      <c r="F3" s="6"/>
      <c r="G3" s="6"/>
      <c r="H3" s="6"/>
    </row>
    <row r="4" spans="2:10" ht="18.5" x14ac:dyDescent="0.45">
      <c r="B4" s="7" t="s">
        <v>1</v>
      </c>
      <c r="C4" s="7"/>
      <c r="D4" s="7"/>
      <c r="E4" s="7"/>
      <c r="F4" s="7"/>
      <c r="G4" s="7"/>
    </row>
    <row r="6" spans="2:10" x14ac:dyDescent="0.35">
      <c r="B6" s="1">
        <v>201</v>
      </c>
      <c r="C6" s="1" t="s">
        <v>2</v>
      </c>
    </row>
    <row r="8" spans="2:10" x14ac:dyDescent="0.35">
      <c r="C8" t="s">
        <v>3</v>
      </c>
    </row>
    <row r="9" spans="2:10" x14ac:dyDescent="0.35">
      <c r="C9" t="s">
        <v>4</v>
      </c>
    </row>
    <row r="12" spans="2:10" x14ac:dyDescent="0.35">
      <c r="B12" t="s">
        <v>6</v>
      </c>
      <c r="C12" s="8" t="s">
        <v>5</v>
      </c>
      <c r="D12" s="8"/>
      <c r="E12" s="8"/>
      <c r="F12" s="8"/>
      <c r="G12" s="8"/>
      <c r="H12" s="8"/>
      <c r="I12" s="8"/>
      <c r="J12" s="8"/>
    </row>
    <row r="13" spans="2:10" x14ac:dyDescent="0.35">
      <c r="C13" s="8"/>
      <c r="D13" s="8"/>
      <c r="E13" s="8"/>
      <c r="F13" s="8"/>
      <c r="G13" s="8"/>
      <c r="H13" s="8"/>
      <c r="I13" s="8"/>
      <c r="J13" s="8"/>
    </row>
    <row r="14" spans="2:10" x14ac:dyDescent="0.35">
      <c r="C14" s="8"/>
      <c r="D14" s="8"/>
      <c r="E14" s="8"/>
      <c r="F14" s="8"/>
      <c r="G14" s="8"/>
      <c r="H14" s="8"/>
      <c r="I14" s="8"/>
      <c r="J14" s="8"/>
    </row>
    <row r="15" spans="2:10" x14ac:dyDescent="0.35">
      <c r="C15" s="8"/>
      <c r="D15" s="8"/>
      <c r="E15" s="8"/>
      <c r="F15" s="8"/>
      <c r="G15" s="8"/>
      <c r="H15" s="8"/>
      <c r="I15" s="8"/>
      <c r="J15" s="8"/>
    </row>
    <row r="17" spans="2:14" x14ac:dyDescent="0.35">
      <c r="B17" t="s">
        <v>7</v>
      </c>
      <c r="C17" t="s">
        <v>8</v>
      </c>
    </row>
    <row r="18" spans="2:14" x14ac:dyDescent="0.35">
      <c r="C18" t="s">
        <v>9</v>
      </c>
    </row>
    <row r="19" spans="2:14" x14ac:dyDescent="0.35">
      <c r="C19" t="s">
        <v>10</v>
      </c>
    </row>
    <row r="20" spans="2:14" x14ac:dyDescent="0.35">
      <c r="C20" t="s">
        <v>11</v>
      </c>
    </row>
    <row r="21" spans="2:14" x14ac:dyDescent="0.35">
      <c r="C21" t="s">
        <v>12</v>
      </c>
    </row>
    <row r="23" spans="2:14" ht="14.5" customHeight="1" x14ac:dyDescent="0.35">
      <c r="C23" s="8" t="s">
        <v>13</v>
      </c>
      <c r="D23" s="8"/>
      <c r="E23" s="8"/>
      <c r="F23" s="8"/>
      <c r="G23" s="8"/>
      <c r="H23" s="8"/>
      <c r="I23" s="8"/>
      <c r="J23" s="8"/>
    </row>
    <row r="24" spans="2:14" x14ac:dyDescent="0.35">
      <c r="B24" t="s">
        <v>6</v>
      </c>
      <c r="C24" s="8"/>
      <c r="D24" s="8"/>
      <c r="E24" s="8"/>
      <c r="F24" s="8"/>
      <c r="G24" s="8"/>
      <c r="H24" s="8"/>
      <c r="I24" s="8"/>
      <c r="J24" s="8"/>
    </row>
    <row r="25" spans="2:14" x14ac:dyDescent="0.35">
      <c r="C25" s="8"/>
      <c r="D25" s="8"/>
      <c r="E25" s="8"/>
      <c r="F25" s="8"/>
      <c r="G25" s="8"/>
      <c r="H25" s="8"/>
      <c r="I25" s="8"/>
      <c r="J25" s="8"/>
    </row>
    <row r="26" spans="2:14" x14ac:dyDescent="0.35">
      <c r="N26" s="1" t="s">
        <v>18</v>
      </c>
    </row>
    <row r="27" spans="2:14" x14ac:dyDescent="0.35">
      <c r="B27" t="s">
        <v>14</v>
      </c>
      <c r="C27" t="s">
        <v>15</v>
      </c>
      <c r="N27" t="s">
        <v>19</v>
      </c>
    </row>
    <row r="28" spans="2:14" x14ac:dyDescent="0.35">
      <c r="C28" t="s">
        <v>16</v>
      </c>
      <c r="N28" t="s">
        <v>20</v>
      </c>
    </row>
    <row r="29" spans="2:14" x14ac:dyDescent="0.35">
      <c r="C29" t="s">
        <v>17</v>
      </c>
      <c r="N29" t="s">
        <v>21</v>
      </c>
    </row>
    <row r="31" spans="2:14" x14ac:dyDescent="0.35">
      <c r="C31" t="s">
        <v>22</v>
      </c>
    </row>
    <row r="32" spans="2:14" x14ac:dyDescent="0.35">
      <c r="C32" t="s">
        <v>23</v>
      </c>
    </row>
    <row r="34" spans="3:3" x14ac:dyDescent="0.35">
      <c r="C34" t="s">
        <v>24</v>
      </c>
    </row>
    <row r="35" spans="3:3" x14ac:dyDescent="0.35">
      <c r="C35" t="s">
        <v>25</v>
      </c>
    </row>
    <row r="37" spans="3:3" x14ac:dyDescent="0.35">
      <c r="C37" t="s">
        <v>26</v>
      </c>
    </row>
    <row r="38" spans="3:3" x14ac:dyDescent="0.35">
      <c r="C38" t="s">
        <v>27</v>
      </c>
    </row>
    <row r="40" spans="3:3" x14ac:dyDescent="0.35">
      <c r="C40" t="s">
        <v>28</v>
      </c>
    </row>
    <row r="41" spans="3:3" x14ac:dyDescent="0.35">
      <c r="C41" t="s">
        <v>29</v>
      </c>
    </row>
    <row r="43" spans="3:3" x14ac:dyDescent="0.35">
      <c r="C43" t="s">
        <v>30</v>
      </c>
    </row>
    <row r="44" spans="3:3" x14ac:dyDescent="0.35">
      <c r="C44" t="s">
        <v>31</v>
      </c>
    </row>
    <row r="46" spans="3:3" x14ac:dyDescent="0.35">
      <c r="C46" s="2" t="s">
        <v>32</v>
      </c>
    </row>
    <row r="48" spans="3:3" x14ac:dyDescent="0.35">
      <c r="C48" t="s">
        <v>33</v>
      </c>
    </row>
    <row r="51" spans="2:3" x14ac:dyDescent="0.35">
      <c r="B51" s="1" t="s">
        <v>6</v>
      </c>
      <c r="C51" s="1" t="s">
        <v>34</v>
      </c>
    </row>
    <row r="53" spans="2:3" x14ac:dyDescent="0.35">
      <c r="B53" t="s">
        <v>7</v>
      </c>
      <c r="C53" t="s">
        <v>36</v>
      </c>
    </row>
    <row r="54" spans="2:3" x14ac:dyDescent="0.35">
      <c r="C54" t="s">
        <v>35</v>
      </c>
    </row>
    <row r="55" spans="2:3" x14ac:dyDescent="0.35">
      <c r="C55" t="s">
        <v>37</v>
      </c>
    </row>
    <row r="56" spans="2:3" x14ac:dyDescent="0.35">
      <c r="C56" t="s">
        <v>38</v>
      </c>
    </row>
    <row r="57" spans="2:3" x14ac:dyDescent="0.35">
      <c r="C57" t="s">
        <v>39</v>
      </c>
    </row>
    <row r="60" spans="2:3" x14ac:dyDescent="0.35">
      <c r="B60" s="1" t="s">
        <v>6</v>
      </c>
      <c r="C60" s="1" t="s">
        <v>40</v>
      </c>
    </row>
    <row r="62" spans="2:3" x14ac:dyDescent="0.35">
      <c r="B62" t="s">
        <v>7</v>
      </c>
      <c r="C62" t="s">
        <v>41</v>
      </c>
    </row>
    <row r="63" spans="2:3" x14ac:dyDescent="0.35">
      <c r="C63" t="s">
        <v>42</v>
      </c>
    </row>
    <row r="64" spans="2:3" x14ac:dyDescent="0.35">
      <c r="C64" t="s">
        <v>43</v>
      </c>
    </row>
    <row r="65" spans="3:3" x14ac:dyDescent="0.35">
      <c r="C65" t="s">
        <v>44</v>
      </c>
    </row>
    <row r="66" spans="3:3" x14ac:dyDescent="0.35">
      <c r="C66" t="s">
        <v>45</v>
      </c>
    </row>
    <row r="67" spans="3:3" x14ac:dyDescent="0.35">
      <c r="C67" t="s">
        <v>46</v>
      </c>
    </row>
  </sheetData>
  <mergeCells count="4">
    <mergeCell ref="B2:H3"/>
    <mergeCell ref="B4:G4"/>
    <mergeCell ref="C12:J15"/>
    <mergeCell ref="C23:J2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S94"/>
  <sheetViews>
    <sheetView workbookViewId="0">
      <selection activeCell="C7" sqref="C7"/>
    </sheetView>
  </sheetViews>
  <sheetFormatPr defaultRowHeight="14.5" x14ac:dyDescent="0.35"/>
  <cols>
    <col min="1" max="1" width="4.90625" customWidth="1"/>
  </cols>
  <sheetData>
    <row r="2" spans="2:14" x14ac:dyDescent="0.35">
      <c r="B2" s="6" t="s">
        <v>0</v>
      </c>
      <c r="C2" s="6"/>
      <c r="D2" s="6"/>
      <c r="E2" s="6"/>
      <c r="F2" s="6"/>
      <c r="G2" s="6"/>
      <c r="H2" s="6"/>
    </row>
    <row r="3" spans="2:14" x14ac:dyDescent="0.35">
      <c r="B3" s="6"/>
      <c r="C3" s="6"/>
      <c r="D3" s="6"/>
      <c r="E3" s="6"/>
      <c r="F3" s="6"/>
      <c r="G3" s="6"/>
      <c r="H3" s="6"/>
    </row>
    <row r="4" spans="2:14" ht="18.5" x14ac:dyDescent="0.45">
      <c r="B4" s="7" t="s">
        <v>1</v>
      </c>
      <c r="C4" s="7"/>
      <c r="D4" s="7"/>
      <c r="E4" s="7"/>
      <c r="F4" s="7"/>
      <c r="G4" s="7"/>
    </row>
    <row r="6" spans="2:14" x14ac:dyDescent="0.35">
      <c r="B6" s="1">
        <v>202</v>
      </c>
      <c r="C6" s="1" t="s">
        <v>84</v>
      </c>
    </row>
    <row r="8" spans="2:14" x14ac:dyDescent="0.35">
      <c r="C8" t="s">
        <v>47</v>
      </c>
      <c r="G8" t="s">
        <v>49</v>
      </c>
    </row>
    <row r="9" spans="2:14" x14ac:dyDescent="0.35">
      <c r="C9" t="s">
        <v>48</v>
      </c>
    </row>
    <row r="12" spans="2:14" ht="14.5" customHeight="1" x14ac:dyDescent="0.35">
      <c r="B12" s="3" t="s">
        <v>6</v>
      </c>
      <c r="C12" s="9" t="s">
        <v>50</v>
      </c>
      <c r="D12" s="9"/>
      <c r="E12" s="9"/>
      <c r="F12" s="9"/>
      <c r="G12" s="9"/>
      <c r="H12" s="9"/>
      <c r="I12" s="9"/>
      <c r="J12" s="9"/>
      <c r="K12" s="9"/>
      <c r="L12" s="9"/>
      <c r="M12" s="9"/>
      <c r="N12" s="9"/>
    </row>
    <row r="13" spans="2:14" x14ac:dyDescent="0.35">
      <c r="C13" s="9"/>
      <c r="D13" s="9"/>
      <c r="E13" s="9"/>
      <c r="F13" s="9"/>
      <c r="G13" s="9"/>
      <c r="H13" s="9"/>
      <c r="I13" s="9"/>
      <c r="J13" s="9"/>
      <c r="K13" s="9"/>
      <c r="L13" s="9"/>
      <c r="M13" s="9"/>
      <c r="N13" s="9"/>
    </row>
    <row r="15" spans="2:14" x14ac:dyDescent="0.35">
      <c r="C15" s="1" t="s">
        <v>51</v>
      </c>
    </row>
    <row r="16" spans="2:14" x14ac:dyDescent="0.35">
      <c r="B16" t="s">
        <v>56</v>
      </c>
      <c r="C16" t="s">
        <v>52</v>
      </c>
    </row>
    <row r="17" spans="2:6" x14ac:dyDescent="0.35">
      <c r="C17" t="s">
        <v>53</v>
      </c>
    </row>
    <row r="18" spans="2:6" x14ac:dyDescent="0.35">
      <c r="C18" t="s">
        <v>54</v>
      </c>
    </row>
    <row r="19" spans="2:6" x14ac:dyDescent="0.35">
      <c r="C19" t="s">
        <v>55</v>
      </c>
    </row>
    <row r="21" spans="2:6" x14ac:dyDescent="0.35">
      <c r="B21" t="s">
        <v>57</v>
      </c>
      <c r="C21" t="s">
        <v>58</v>
      </c>
    </row>
    <row r="22" spans="2:6" x14ac:dyDescent="0.35">
      <c r="C22" t="s">
        <v>59</v>
      </c>
    </row>
    <row r="23" spans="2:6" x14ac:dyDescent="0.35">
      <c r="C23" t="s">
        <v>60</v>
      </c>
    </row>
    <row r="24" spans="2:6" x14ac:dyDescent="0.35">
      <c r="C24" t="s">
        <v>61</v>
      </c>
    </row>
    <row r="27" spans="2:6" x14ac:dyDescent="0.35">
      <c r="B27" t="s">
        <v>6</v>
      </c>
      <c r="C27" s="1" t="s">
        <v>62</v>
      </c>
    </row>
    <row r="29" spans="2:6" x14ac:dyDescent="0.35">
      <c r="B29" t="s">
        <v>14</v>
      </c>
      <c r="C29" s="1" t="s">
        <v>63</v>
      </c>
      <c r="E29">
        <f>68.9*5%</f>
        <v>3.4450000000000003</v>
      </c>
      <c r="F29" t="s">
        <v>64</v>
      </c>
    </row>
    <row r="30" spans="2:6" x14ac:dyDescent="0.35">
      <c r="C30" s="1" t="s">
        <v>65</v>
      </c>
      <c r="E30">
        <f>192.3*1%</f>
        <v>1.9230000000000003</v>
      </c>
      <c r="F30" t="s">
        <v>64</v>
      </c>
    </row>
    <row r="33" spans="3:13" x14ac:dyDescent="0.35">
      <c r="C33" s="1" t="s">
        <v>66</v>
      </c>
    </row>
    <row r="34" spans="3:13" x14ac:dyDescent="0.35">
      <c r="C34" s="10" t="s">
        <v>68</v>
      </c>
      <c r="D34" s="10"/>
      <c r="E34" s="10"/>
      <c r="F34" s="10"/>
      <c r="G34" s="10"/>
      <c r="H34" s="10"/>
      <c r="I34" s="10"/>
      <c r="J34" s="10"/>
      <c r="K34" s="10"/>
      <c r="L34" s="10"/>
      <c r="M34" s="10"/>
    </row>
    <row r="35" spans="3:13" x14ac:dyDescent="0.35">
      <c r="C35" s="10"/>
      <c r="D35" s="10"/>
      <c r="E35" s="10"/>
      <c r="F35" s="10"/>
      <c r="G35" s="10"/>
      <c r="H35" s="10"/>
      <c r="I35" s="10"/>
      <c r="J35" s="10"/>
      <c r="K35" s="10"/>
      <c r="L35" s="10"/>
      <c r="M35" s="10"/>
    </row>
    <row r="37" spans="3:13" x14ac:dyDescent="0.35">
      <c r="C37" s="1" t="s">
        <v>67</v>
      </c>
    </row>
    <row r="38" spans="3:13" x14ac:dyDescent="0.35">
      <c r="C38" t="s">
        <v>69</v>
      </c>
    </row>
    <row r="41" spans="3:13" x14ac:dyDescent="0.35">
      <c r="C41" s="1" t="s">
        <v>66</v>
      </c>
    </row>
    <row r="42" spans="3:13" x14ac:dyDescent="0.35">
      <c r="C42" s="10" t="s">
        <v>70</v>
      </c>
      <c r="D42" s="10"/>
      <c r="E42" s="10"/>
      <c r="F42" s="10"/>
      <c r="G42" s="10"/>
      <c r="H42" s="10"/>
      <c r="I42" s="10"/>
      <c r="J42" s="10"/>
      <c r="K42" s="10"/>
      <c r="L42" s="10"/>
      <c r="M42" s="10"/>
    </row>
    <row r="43" spans="3:13" x14ac:dyDescent="0.35">
      <c r="C43" s="10"/>
      <c r="D43" s="10"/>
      <c r="E43" s="10"/>
      <c r="F43" s="10"/>
      <c r="G43" s="10"/>
      <c r="H43" s="10"/>
      <c r="I43" s="10"/>
      <c r="J43" s="10"/>
      <c r="K43" s="10"/>
      <c r="L43" s="10"/>
      <c r="M43" s="10"/>
    </row>
    <row r="45" spans="3:13" x14ac:dyDescent="0.35">
      <c r="C45" s="1" t="s">
        <v>67</v>
      </c>
    </row>
    <row r="46" spans="3:13" x14ac:dyDescent="0.35">
      <c r="C46" t="s">
        <v>71</v>
      </c>
    </row>
    <row r="49" spans="3:19" x14ac:dyDescent="0.35">
      <c r="C49" s="1" t="s">
        <v>66</v>
      </c>
    </row>
    <row r="50" spans="3:19" x14ac:dyDescent="0.35">
      <c r="C50" s="10" t="s">
        <v>72</v>
      </c>
      <c r="D50" s="10"/>
      <c r="E50" s="10"/>
      <c r="F50" s="10"/>
      <c r="G50" s="10"/>
      <c r="H50" s="10"/>
      <c r="I50" s="10"/>
      <c r="J50" s="10"/>
      <c r="K50" s="10"/>
      <c r="L50" s="10"/>
      <c r="M50" s="10"/>
    </row>
    <row r="51" spans="3:19" x14ac:dyDescent="0.35">
      <c r="C51" s="10"/>
      <c r="D51" s="10"/>
      <c r="E51" s="10"/>
      <c r="F51" s="10"/>
      <c r="G51" s="10"/>
      <c r="H51" s="10"/>
      <c r="I51" s="10"/>
      <c r="J51" s="10"/>
      <c r="K51" s="10"/>
      <c r="L51" s="10"/>
      <c r="M51" s="10"/>
    </row>
    <row r="53" spans="3:19" x14ac:dyDescent="0.35">
      <c r="C53" s="1" t="s">
        <v>67</v>
      </c>
    </row>
    <row r="54" spans="3:19" x14ac:dyDescent="0.35">
      <c r="C54" t="s">
        <v>73</v>
      </c>
    </row>
    <row r="57" spans="3:19" x14ac:dyDescent="0.35">
      <c r="C57" s="1" t="s">
        <v>66</v>
      </c>
    </row>
    <row r="58" spans="3:19" x14ac:dyDescent="0.35">
      <c r="C58" s="10" t="s">
        <v>74</v>
      </c>
      <c r="D58" s="10"/>
      <c r="E58" s="10"/>
      <c r="F58" s="10"/>
      <c r="G58" s="10"/>
      <c r="H58" s="10"/>
      <c r="I58" s="10"/>
      <c r="J58" s="10"/>
      <c r="K58" s="10"/>
      <c r="L58" s="10"/>
      <c r="M58" s="10"/>
      <c r="N58" s="10"/>
      <c r="O58" s="10"/>
      <c r="P58" s="10"/>
      <c r="Q58" s="10"/>
      <c r="R58" s="10"/>
      <c r="S58" s="10"/>
    </row>
    <row r="59" spans="3:19" x14ac:dyDescent="0.35">
      <c r="C59" s="10"/>
      <c r="D59" s="10"/>
      <c r="E59" s="10"/>
      <c r="F59" s="10"/>
      <c r="G59" s="10"/>
      <c r="H59" s="10"/>
      <c r="I59" s="10"/>
      <c r="J59" s="10"/>
      <c r="K59" s="10"/>
      <c r="L59" s="10"/>
      <c r="M59" s="10"/>
      <c r="N59" s="10"/>
      <c r="O59" s="10"/>
      <c r="P59" s="10"/>
      <c r="Q59" s="10"/>
      <c r="R59" s="10"/>
      <c r="S59" s="10"/>
    </row>
    <row r="61" spans="3:19" x14ac:dyDescent="0.35">
      <c r="C61" s="1" t="s">
        <v>67</v>
      </c>
    </row>
    <row r="62" spans="3:19" x14ac:dyDescent="0.35">
      <c r="C62" t="s">
        <v>75</v>
      </c>
    </row>
    <row r="65" spans="3:19" x14ac:dyDescent="0.35">
      <c r="C65" s="1" t="s">
        <v>66</v>
      </c>
    </row>
    <row r="66" spans="3:19" x14ac:dyDescent="0.35">
      <c r="C66" s="10" t="s">
        <v>76</v>
      </c>
      <c r="D66" s="10"/>
      <c r="E66" s="10"/>
      <c r="F66" s="10"/>
      <c r="G66" s="10"/>
      <c r="H66" s="10"/>
      <c r="I66" s="10"/>
      <c r="J66" s="10"/>
      <c r="K66" s="10"/>
      <c r="L66" s="10"/>
      <c r="M66" s="10"/>
      <c r="N66" s="10"/>
      <c r="O66" s="10"/>
      <c r="P66" s="10"/>
      <c r="Q66" s="10"/>
      <c r="R66" s="10"/>
      <c r="S66" s="10"/>
    </row>
    <row r="67" spans="3:19" x14ac:dyDescent="0.35">
      <c r="C67" s="10"/>
      <c r="D67" s="10"/>
      <c r="E67" s="10"/>
      <c r="F67" s="10"/>
      <c r="G67" s="10"/>
      <c r="H67" s="10"/>
      <c r="I67" s="10"/>
      <c r="J67" s="10"/>
      <c r="K67" s="10"/>
      <c r="L67" s="10"/>
      <c r="M67" s="10"/>
      <c r="N67" s="10"/>
      <c r="O67" s="10"/>
      <c r="P67" s="10"/>
      <c r="Q67" s="10"/>
      <c r="R67" s="10"/>
      <c r="S67" s="10"/>
    </row>
    <row r="69" spans="3:19" x14ac:dyDescent="0.35">
      <c r="C69" s="1" t="s">
        <v>67</v>
      </c>
    </row>
    <row r="70" spans="3:19" x14ac:dyDescent="0.35">
      <c r="C70" t="s">
        <v>77</v>
      </c>
    </row>
    <row r="73" spans="3:19" x14ac:dyDescent="0.35">
      <c r="C73" s="1" t="s">
        <v>66</v>
      </c>
    </row>
    <row r="74" spans="3:19" x14ac:dyDescent="0.35">
      <c r="C74" s="10" t="s">
        <v>78</v>
      </c>
      <c r="D74" s="10"/>
      <c r="E74" s="10"/>
      <c r="F74" s="10"/>
      <c r="G74" s="10"/>
      <c r="H74" s="10"/>
      <c r="I74" s="10"/>
      <c r="J74" s="10"/>
      <c r="K74" s="10"/>
      <c r="L74" s="10"/>
      <c r="M74" s="10"/>
      <c r="N74" s="10"/>
      <c r="O74" s="10"/>
      <c r="P74" s="10"/>
      <c r="Q74" s="10"/>
      <c r="R74" s="10"/>
      <c r="S74" s="10"/>
    </row>
    <row r="75" spans="3:19" x14ac:dyDescent="0.35">
      <c r="C75" s="10"/>
      <c r="D75" s="10"/>
      <c r="E75" s="10"/>
      <c r="F75" s="10"/>
      <c r="G75" s="10"/>
      <c r="H75" s="10"/>
      <c r="I75" s="10"/>
      <c r="J75" s="10"/>
      <c r="K75" s="10"/>
      <c r="L75" s="10"/>
      <c r="M75" s="10"/>
      <c r="N75" s="10"/>
      <c r="O75" s="10"/>
      <c r="P75" s="10"/>
      <c r="Q75" s="10"/>
      <c r="R75" s="10"/>
      <c r="S75" s="10"/>
    </row>
    <row r="77" spans="3:19" x14ac:dyDescent="0.35">
      <c r="C77" s="1" t="s">
        <v>67</v>
      </c>
    </row>
    <row r="78" spans="3:19" x14ac:dyDescent="0.35">
      <c r="C78" t="s">
        <v>79</v>
      </c>
    </row>
    <row r="81" spans="3:19" x14ac:dyDescent="0.35">
      <c r="C81" s="1" t="s">
        <v>66</v>
      </c>
    </row>
    <row r="82" spans="3:19" x14ac:dyDescent="0.35">
      <c r="C82" s="10" t="s">
        <v>80</v>
      </c>
      <c r="D82" s="10"/>
      <c r="E82" s="10"/>
      <c r="F82" s="10"/>
      <c r="G82" s="10"/>
      <c r="H82" s="10"/>
      <c r="I82" s="10"/>
      <c r="J82" s="10"/>
      <c r="K82" s="10"/>
      <c r="L82" s="10"/>
      <c r="M82" s="10"/>
      <c r="N82" s="10"/>
      <c r="O82" s="10"/>
      <c r="P82" s="10"/>
      <c r="Q82" s="10"/>
      <c r="R82" s="10"/>
      <c r="S82" s="10"/>
    </row>
    <row r="83" spans="3:19" x14ac:dyDescent="0.35">
      <c r="C83" s="10"/>
      <c r="D83" s="10"/>
      <c r="E83" s="10"/>
      <c r="F83" s="10"/>
      <c r="G83" s="10"/>
      <c r="H83" s="10"/>
      <c r="I83" s="10"/>
      <c r="J83" s="10"/>
      <c r="K83" s="10"/>
      <c r="L83" s="10"/>
      <c r="M83" s="10"/>
      <c r="N83" s="10"/>
      <c r="O83" s="10"/>
      <c r="P83" s="10"/>
      <c r="Q83" s="10"/>
      <c r="R83" s="10"/>
      <c r="S83" s="10"/>
    </row>
    <row r="85" spans="3:19" x14ac:dyDescent="0.35">
      <c r="C85" s="1" t="s">
        <v>67</v>
      </c>
    </row>
    <row r="86" spans="3:19" x14ac:dyDescent="0.35">
      <c r="C86" t="s">
        <v>81</v>
      </c>
    </row>
    <row r="89" spans="3:19" x14ac:dyDescent="0.35">
      <c r="C89" s="1" t="s">
        <v>66</v>
      </c>
    </row>
    <row r="90" spans="3:19" x14ac:dyDescent="0.35">
      <c r="C90" s="10" t="s">
        <v>82</v>
      </c>
      <c r="D90" s="10"/>
      <c r="E90" s="10"/>
      <c r="F90" s="10"/>
      <c r="G90" s="10"/>
      <c r="H90" s="10"/>
      <c r="I90" s="10"/>
      <c r="J90" s="10"/>
      <c r="K90" s="10"/>
      <c r="L90" s="10"/>
      <c r="M90" s="10"/>
      <c r="N90" s="10"/>
      <c r="O90" s="10"/>
      <c r="P90" s="10"/>
      <c r="Q90" s="10"/>
      <c r="R90" s="10"/>
      <c r="S90" s="10"/>
    </row>
    <row r="91" spans="3:19" x14ac:dyDescent="0.35">
      <c r="C91" s="10"/>
      <c r="D91" s="10"/>
      <c r="E91" s="10"/>
      <c r="F91" s="10"/>
      <c r="G91" s="10"/>
      <c r="H91" s="10"/>
      <c r="I91" s="10"/>
      <c r="J91" s="10"/>
      <c r="K91" s="10"/>
      <c r="L91" s="10"/>
      <c r="M91" s="10"/>
      <c r="N91" s="10"/>
      <c r="O91" s="10"/>
      <c r="P91" s="10"/>
      <c r="Q91" s="10"/>
      <c r="R91" s="10"/>
      <c r="S91" s="10"/>
    </row>
    <row r="93" spans="3:19" x14ac:dyDescent="0.35">
      <c r="C93" s="1" t="s">
        <v>67</v>
      </c>
    </row>
    <row r="94" spans="3:19" x14ac:dyDescent="0.35">
      <c r="C94" t="s">
        <v>83</v>
      </c>
    </row>
  </sheetData>
  <mergeCells count="11">
    <mergeCell ref="C82:S83"/>
    <mergeCell ref="C90:S91"/>
    <mergeCell ref="C34:M35"/>
    <mergeCell ref="C42:M43"/>
    <mergeCell ref="C50:M51"/>
    <mergeCell ref="C58:S59"/>
    <mergeCell ref="B2:H3"/>
    <mergeCell ref="B4:G4"/>
    <mergeCell ref="C12:N13"/>
    <mergeCell ref="C66:S67"/>
    <mergeCell ref="C74:S75"/>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50"/>
  <sheetViews>
    <sheetView topLeftCell="A36" workbookViewId="0">
      <selection activeCell="C51" sqref="C51"/>
    </sheetView>
  </sheetViews>
  <sheetFormatPr defaultRowHeight="14.5" x14ac:dyDescent="0.35"/>
  <cols>
    <col min="1" max="1" width="5.54296875" customWidth="1"/>
    <col min="2" max="2" width="8.7265625" style="1"/>
    <col min="3" max="3" width="9.726562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203</v>
      </c>
      <c r="C6" s="1" t="s">
        <v>89</v>
      </c>
    </row>
    <row r="8" spans="2:8" x14ac:dyDescent="0.35">
      <c r="C8" t="s">
        <v>85</v>
      </c>
      <c r="D8" t="s">
        <v>86</v>
      </c>
    </row>
    <row r="9" spans="2:8" x14ac:dyDescent="0.35">
      <c r="C9" t="s">
        <v>87</v>
      </c>
      <c r="D9" t="s">
        <v>88</v>
      </c>
    </row>
    <row r="11" spans="2:8" x14ac:dyDescent="0.35">
      <c r="B11" s="1" t="s">
        <v>6</v>
      </c>
      <c r="C11" s="1" t="s">
        <v>90</v>
      </c>
    </row>
    <row r="13" spans="2:8" x14ac:dyDescent="0.35">
      <c r="C13" t="s">
        <v>91</v>
      </c>
    </row>
    <row r="14" spans="2:8" x14ac:dyDescent="0.35">
      <c r="C14" t="s">
        <v>92</v>
      </c>
    </row>
    <row r="15" spans="2:8" x14ac:dyDescent="0.35">
      <c r="C15" t="s">
        <v>93</v>
      </c>
    </row>
    <row r="17" spans="2:8" x14ac:dyDescent="0.35">
      <c r="C17" s="1" t="s">
        <v>94</v>
      </c>
    </row>
    <row r="18" spans="2:8" x14ac:dyDescent="0.35">
      <c r="C18" t="s">
        <v>95</v>
      </c>
    </row>
    <row r="19" spans="2:8" x14ac:dyDescent="0.35">
      <c r="C19" t="s">
        <v>96</v>
      </c>
    </row>
    <row r="20" spans="2:8" x14ac:dyDescent="0.35">
      <c r="C20" t="s">
        <v>97</v>
      </c>
    </row>
    <row r="21" spans="2:8" x14ac:dyDescent="0.35">
      <c r="C21" t="s">
        <v>98</v>
      </c>
    </row>
    <row r="24" spans="2:8" x14ac:dyDescent="0.35">
      <c r="B24" s="1" t="s">
        <v>6</v>
      </c>
      <c r="C24" s="1" t="s">
        <v>99</v>
      </c>
    </row>
    <row r="25" spans="2:8" x14ac:dyDescent="0.35">
      <c r="E25" t="s">
        <v>102</v>
      </c>
      <c r="G25" t="s">
        <v>101</v>
      </c>
    </row>
    <row r="26" spans="2:8" x14ac:dyDescent="0.35">
      <c r="C26" s="1" t="s">
        <v>100</v>
      </c>
      <c r="E26">
        <f>(0.4/22)*100</f>
        <v>1.8181818181818183</v>
      </c>
      <c r="G26" s="4">
        <f>(1.2/26)*100%</f>
        <v>4.6153846153846149E-2</v>
      </c>
    </row>
    <row r="28" spans="2:8" x14ac:dyDescent="0.35">
      <c r="C28" s="1" t="s">
        <v>103</v>
      </c>
    </row>
    <row r="29" spans="2:8" x14ac:dyDescent="0.35">
      <c r="E29">
        <f>(1.9/10.9)*365</f>
        <v>63.62385321100917</v>
      </c>
      <c r="F29" t="s">
        <v>104</v>
      </c>
      <c r="G29">
        <f>(3.2/14.5)*365</f>
        <v>80.551724137931046</v>
      </c>
      <c r="H29" t="s">
        <v>104</v>
      </c>
    </row>
    <row r="31" spans="2:8" x14ac:dyDescent="0.35">
      <c r="B31" s="1" t="s">
        <v>6</v>
      </c>
      <c r="C31" s="1" t="s">
        <v>105</v>
      </c>
    </row>
    <row r="33" spans="2:3" x14ac:dyDescent="0.35">
      <c r="C33" s="1"/>
    </row>
    <row r="34" spans="2:3" x14ac:dyDescent="0.35">
      <c r="B34" s="1" t="s">
        <v>109</v>
      </c>
      <c r="C34" t="s">
        <v>106</v>
      </c>
    </row>
    <row r="35" spans="2:3" x14ac:dyDescent="0.35">
      <c r="B35" s="1" t="s">
        <v>108</v>
      </c>
      <c r="C35" s="5" t="s">
        <v>107</v>
      </c>
    </row>
    <row r="37" spans="2:3" x14ac:dyDescent="0.35">
      <c r="B37" s="1" t="s">
        <v>109</v>
      </c>
      <c r="C37" t="s">
        <v>110</v>
      </c>
    </row>
    <row r="38" spans="2:3" x14ac:dyDescent="0.35">
      <c r="B38" s="1" t="s">
        <v>108</v>
      </c>
      <c r="C38" t="s">
        <v>111</v>
      </c>
    </row>
    <row r="40" spans="2:3" x14ac:dyDescent="0.35">
      <c r="B40" s="1" t="s">
        <v>109</v>
      </c>
      <c r="C40" t="s">
        <v>112</v>
      </c>
    </row>
    <row r="41" spans="2:3" x14ac:dyDescent="0.35">
      <c r="B41" s="1" t="s">
        <v>108</v>
      </c>
      <c r="C41" t="s">
        <v>113</v>
      </c>
    </row>
    <row r="43" spans="2:3" x14ac:dyDescent="0.35">
      <c r="B43" s="1" t="s">
        <v>109</v>
      </c>
      <c r="C43" t="s">
        <v>114</v>
      </c>
    </row>
    <row r="44" spans="2:3" x14ac:dyDescent="0.35">
      <c r="B44" s="1" t="s">
        <v>108</v>
      </c>
      <c r="C44" t="s">
        <v>115</v>
      </c>
    </row>
    <row r="46" spans="2:3" x14ac:dyDescent="0.35">
      <c r="B46" s="1" t="s">
        <v>109</v>
      </c>
      <c r="C46" t="s">
        <v>116</v>
      </c>
    </row>
    <row r="47" spans="2:3" x14ac:dyDescent="0.35">
      <c r="B47" s="1" t="s">
        <v>108</v>
      </c>
      <c r="C47" t="s">
        <v>117</v>
      </c>
    </row>
    <row r="49" spans="2:3" x14ac:dyDescent="0.35">
      <c r="B49" s="1" t="s">
        <v>109</v>
      </c>
      <c r="C49" t="s">
        <v>118</v>
      </c>
    </row>
    <row r="50" spans="2:3" x14ac:dyDescent="0.35">
      <c r="B50" s="1" t="s">
        <v>108</v>
      </c>
      <c r="C50" t="s">
        <v>119</v>
      </c>
    </row>
  </sheetData>
  <mergeCells count="2">
    <mergeCell ref="B2:H3"/>
    <mergeCell ref="B4:G4"/>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60"/>
  <sheetViews>
    <sheetView topLeftCell="A51" workbookViewId="0">
      <selection activeCell="C62" sqref="C62"/>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204</v>
      </c>
      <c r="C6" s="1" t="s">
        <v>120</v>
      </c>
    </row>
    <row r="8" spans="2:8" x14ac:dyDescent="0.35">
      <c r="C8" s="1" t="s">
        <v>121</v>
      </c>
      <c r="D8" t="s">
        <v>125</v>
      </c>
    </row>
    <row r="9" spans="2:8" x14ac:dyDescent="0.35">
      <c r="C9" s="1" t="s">
        <v>122</v>
      </c>
      <c r="D9" t="s">
        <v>120</v>
      </c>
      <c r="E9" t="s">
        <v>123</v>
      </c>
    </row>
    <row r="11" spans="2:8" x14ac:dyDescent="0.35">
      <c r="B11" s="1" t="s">
        <v>6</v>
      </c>
      <c r="C11" s="1" t="s">
        <v>124</v>
      </c>
    </row>
    <row r="13" spans="2:8" x14ac:dyDescent="0.35">
      <c r="B13" t="s">
        <v>14</v>
      </c>
      <c r="C13" s="5" t="s">
        <v>126</v>
      </c>
    </row>
    <row r="14" spans="2:8" x14ac:dyDescent="0.35">
      <c r="C14" s="5" t="s">
        <v>127</v>
      </c>
    </row>
    <row r="15" spans="2:8" x14ac:dyDescent="0.35">
      <c r="C15" s="5" t="s">
        <v>128</v>
      </c>
    </row>
    <row r="18" spans="2:8" x14ac:dyDescent="0.35">
      <c r="B18" s="1" t="s">
        <v>6</v>
      </c>
      <c r="C18" s="1" t="s">
        <v>129</v>
      </c>
    </row>
    <row r="19" spans="2:8" x14ac:dyDescent="0.35">
      <c r="G19" t="s">
        <v>135</v>
      </c>
      <c r="H19" t="s">
        <v>134</v>
      </c>
    </row>
    <row r="20" spans="2:8" x14ac:dyDescent="0.35">
      <c r="B20" t="s">
        <v>14</v>
      </c>
      <c r="C20" t="s">
        <v>130</v>
      </c>
    </row>
    <row r="21" spans="2:8" x14ac:dyDescent="0.35">
      <c r="C21" t="s">
        <v>131</v>
      </c>
    </row>
    <row r="22" spans="2:8" x14ac:dyDescent="0.35">
      <c r="C22" t="s">
        <v>132</v>
      </c>
    </row>
    <row r="23" spans="2:8" x14ac:dyDescent="0.35">
      <c r="C23" t="s">
        <v>133</v>
      </c>
    </row>
    <row r="25" spans="2:8" x14ac:dyDescent="0.35">
      <c r="B25" s="1" t="s">
        <v>6</v>
      </c>
      <c r="C25" s="1" t="s">
        <v>136</v>
      </c>
    </row>
    <row r="27" spans="2:8" x14ac:dyDescent="0.35">
      <c r="B27" t="s">
        <v>14</v>
      </c>
      <c r="C27" t="s">
        <v>137</v>
      </c>
    </row>
    <row r="28" spans="2:8" x14ac:dyDescent="0.35">
      <c r="C28" t="s">
        <v>138</v>
      </c>
    </row>
    <row r="29" spans="2:8" x14ac:dyDescent="0.35">
      <c r="C29" t="s">
        <v>139</v>
      </c>
    </row>
    <row r="31" spans="2:8" x14ac:dyDescent="0.35">
      <c r="C31" t="s">
        <v>140</v>
      </c>
    </row>
    <row r="32" spans="2:8" x14ac:dyDescent="0.35">
      <c r="C32" t="s">
        <v>141</v>
      </c>
    </row>
    <row r="34" spans="3:3" x14ac:dyDescent="0.35">
      <c r="C34" t="s">
        <v>142</v>
      </c>
    </row>
    <row r="35" spans="3:3" x14ac:dyDescent="0.35">
      <c r="C35" t="s">
        <v>143</v>
      </c>
    </row>
    <row r="37" spans="3:3" x14ac:dyDescent="0.35">
      <c r="C37" t="s">
        <v>144</v>
      </c>
    </row>
    <row r="38" spans="3:3" x14ac:dyDescent="0.35">
      <c r="C38" t="s">
        <v>145</v>
      </c>
    </row>
    <row r="40" spans="3:3" x14ac:dyDescent="0.35">
      <c r="C40" t="s">
        <v>147</v>
      </c>
    </row>
    <row r="41" spans="3:3" x14ac:dyDescent="0.35">
      <c r="C41" t="s">
        <v>146</v>
      </c>
    </row>
    <row r="43" spans="3:3" x14ac:dyDescent="0.35">
      <c r="C43" t="s">
        <v>148</v>
      </c>
    </row>
    <row r="44" spans="3:3" x14ac:dyDescent="0.35">
      <c r="C44" t="s">
        <v>149</v>
      </c>
    </row>
    <row r="46" spans="3:3" x14ac:dyDescent="0.35">
      <c r="C46" t="s">
        <v>150</v>
      </c>
    </row>
    <row r="47" spans="3:3" x14ac:dyDescent="0.35">
      <c r="C47" t="s">
        <v>151</v>
      </c>
    </row>
    <row r="49" spans="2:3" x14ac:dyDescent="0.35">
      <c r="C49" t="s">
        <v>152</v>
      </c>
    </row>
    <row r="50" spans="2:3" x14ac:dyDescent="0.35">
      <c r="C50" t="s">
        <v>153</v>
      </c>
    </row>
    <row r="53" spans="2:3" x14ac:dyDescent="0.35">
      <c r="B53" s="1" t="s">
        <v>6</v>
      </c>
      <c r="C53" s="1" t="s">
        <v>154</v>
      </c>
    </row>
    <row r="55" spans="2:3" x14ac:dyDescent="0.35">
      <c r="B55" t="s">
        <v>14</v>
      </c>
      <c r="C55" t="s">
        <v>155</v>
      </c>
    </row>
    <row r="56" spans="2:3" x14ac:dyDescent="0.35">
      <c r="C56" t="s">
        <v>156</v>
      </c>
    </row>
    <row r="57" spans="2:3" x14ac:dyDescent="0.35">
      <c r="C57" t="s">
        <v>157</v>
      </c>
    </row>
    <row r="58" spans="2:3" x14ac:dyDescent="0.35">
      <c r="C58" t="s">
        <v>158</v>
      </c>
    </row>
    <row r="59" spans="2:3" x14ac:dyDescent="0.35">
      <c r="C59" t="s">
        <v>159</v>
      </c>
    </row>
    <row r="60" spans="2:3" x14ac:dyDescent="0.35">
      <c r="C60" t="s">
        <v>160</v>
      </c>
    </row>
  </sheetData>
  <mergeCells count="2">
    <mergeCell ref="B2:H3"/>
    <mergeCell ref="B4:G4"/>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71"/>
  <sheetViews>
    <sheetView topLeftCell="A56" workbookViewId="0">
      <selection activeCell="C72" sqref="C72"/>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205</v>
      </c>
      <c r="C6" s="1" t="s">
        <v>161</v>
      </c>
    </row>
    <row r="8" spans="2:8" x14ac:dyDescent="0.35">
      <c r="C8" t="s">
        <v>162</v>
      </c>
      <c r="E8" t="s">
        <v>164</v>
      </c>
    </row>
    <row r="9" spans="2:8" x14ac:dyDescent="0.35">
      <c r="C9" t="s">
        <v>163</v>
      </c>
      <c r="E9" t="s">
        <v>165</v>
      </c>
    </row>
    <row r="12" spans="2:8" x14ac:dyDescent="0.35">
      <c r="B12" s="1" t="s">
        <v>6</v>
      </c>
      <c r="C12" s="1" t="s">
        <v>166</v>
      </c>
    </row>
    <row r="14" spans="2:8" x14ac:dyDescent="0.35">
      <c r="B14" s="1" t="s">
        <v>14</v>
      </c>
      <c r="C14" t="s">
        <v>167</v>
      </c>
    </row>
    <row r="15" spans="2:8" x14ac:dyDescent="0.35">
      <c r="C15" t="s">
        <v>168</v>
      </c>
    </row>
    <row r="17" spans="3:3" x14ac:dyDescent="0.35">
      <c r="C17" t="s">
        <v>169</v>
      </c>
    </row>
    <row r="18" spans="3:3" x14ac:dyDescent="0.35">
      <c r="C18" t="s">
        <v>170</v>
      </c>
    </row>
    <row r="20" spans="3:3" x14ac:dyDescent="0.35">
      <c r="C20" t="s">
        <v>171</v>
      </c>
    </row>
    <row r="21" spans="3:3" x14ac:dyDescent="0.35">
      <c r="C21" t="s">
        <v>172</v>
      </c>
    </row>
    <row r="23" spans="3:3" x14ac:dyDescent="0.35">
      <c r="C23" t="s">
        <v>173</v>
      </c>
    </row>
    <row r="24" spans="3:3" x14ac:dyDescent="0.35">
      <c r="C24" t="s">
        <v>174</v>
      </c>
    </row>
    <row r="26" spans="3:3" x14ac:dyDescent="0.35">
      <c r="C26" t="s">
        <v>175</v>
      </c>
    </row>
    <row r="27" spans="3:3" x14ac:dyDescent="0.35">
      <c r="C27" t="s">
        <v>176</v>
      </c>
    </row>
    <row r="29" spans="3:3" x14ac:dyDescent="0.35">
      <c r="C29" t="s">
        <v>177</v>
      </c>
    </row>
    <row r="30" spans="3:3" x14ac:dyDescent="0.35">
      <c r="C30" t="s">
        <v>178</v>
      </c>
    </row>
    <row r="32" spans="3:3" x14ac:dyDescent="0.35">
      <c r="C32" t="s">
        <v>179</v>
      </c>
    </row>
    <row r="33" spans="2:3" x14ac:dyDescent="0.35">
      <c r="C33" t="s">
        <v>180</v>
      </c>
    </row>
    <row r="36" spans="2:3" x14ac:dyDescent="0.35">
      <c r="B36" s="1" t="s">
        <v>6</v>
      </c>
      <c r="C36" s="1" t="s">
        <v>181</v>
      </c>
    </row>
    <row r="38" spans="2:3" x14ac:dyDescent="0.35">
      <c r="B38" s="1" t="s">
        <v>14</v>
      </c>
      <c r="C38" t="s">
        <v>182</v>
      </c>
    </row>
    <row r="39" spans="2:3" x14ac:dyDescent="0.35">
      <c r="C39" t="s">
        <v>183</v>
      </c>
    </row>
    <row r="40" spans="2:3" x14ac:dyDescent="0.35">
      <c r="C40" t="s">
        <v>184</v>
      </c>
    </row>
    <row r="41" spans="2:3" x14ac:dyDescent="0.35">
      <c r="C41" t="s">
        <v>185</v>
      </c>
    </row>
    <row r="42" spans="2:3" x14ac:dyDescent="0.35">
      <c r="C42" t="s">
        <v>186</v>
      </c>
    </row>
    <row r="45" spans="2:3" x14ac:dyDescent="0.35">
      <c r="B45" s="1" t="s">
        <v>6</v>
      </c>
      <c r="C45" s="1" t="s">
        <v>187</v>
      </c>
    </row>
    <row r="47" spans="2:3" x14ac:dyDescent="0.35">
      <c r="B47" s="1" t="s">
        <v>14</v>
      </c>
      <c r="C47" t="s">
        <v>188</v>
      </c>
    </row>
    <row r="48" spans="2:3" x14ac:dyDescent="0.35">
      <c r="C48" t="s">
        <v>189</v>
      </c>
    </row>
    <row r="50" spans="2:3" x14ac:dyDescent="0.35">
      <c r="B50" s="1" t="s">
        <v>6</v>
      </c>
      <c r="C50" s="1" t="s">
        <v>190</v>
      </c>
    </row>
    <row r="52" spans="2:3" x14ac:dyDescent="0.35">
      <c r="C52" t="s">
        <v>191</v>
      </c>
    </row>
    <row r="53" spans="2:3" x14ac:dyDescent="0.35">
      <c r="C53" t="s">
        <v>192</v>
      </c>
    </row>
    <row r="55" spans="2:3" x14ac:dyDescent="0.35">
      <c r="C55" t="s">
        <v>193</v>
      </c>
    </row>
    <row r="56" spans="2:3" x14ac:dyDescent="0.35">
      <c r="C56" t="s">
        <v>194</v>
      </c>
    </row>
    <row r="58" spans="2:3" x14ac:dyDescent="0.35">
      <c r="C58" t="s">
        <v>195</v>
      </c>
    </row>
    <row r="59" spans="2:3" x14ac:dyDescent="0.35">
      <c r="C59" t="s">
        <v>196</v>
      </c>
    </row>
    <row r="61" spans="2:3" x14ac:dyDescent="0.35">
      <c r="C61" t="s">
        <v>197</v>
      </c>
    </row>
    <row r="62" spans="2:3" x14ac:dyDescent="0.35">
      <c r="C62" t="s">
        <v>198</v>
      </c>
    </row>
    <row r="65" spans="2:3" x14ac:dyDescent="0.35">
      <c r="B65" s="1" t="s">
        <v>6</v>
      </c>
      <c r="C65" s="1" t="s">
        <v>199</v>
      </c>
    </row>
    <row r="67" spans="2:3" x14ac:dyDescent="0.35">
      <c r="B67" t="s">
        <v>14</v>
      </c>
      <c r="C67" t="s">
        <v>200</v>
      </c>
    </row>
    <row r="68" spans="2:3" x14ac:dyDescent="0.35">
      <c r="C68" t="s">
        <v>201</v>
      </c>
    </row>
    <row r="69" spans="2:3" x14ac:dyDescent="0.35">
      <c r="C69" t="s">
        <v>202</v>
      </c>
    </row>
    <row r="70" spans="2:3" x14ac:dyDescent="0.35">
      <c r="C70" t="s">
        <v>203</v>
      </c>
    </row>
    <row r="71" spans="2:3" x14ac:dyDescent="0.35">
      <c r="C71" t="s">
        <v>204</v>
      </c>
    </row>
  </sheetData>
  <mergeCells count="2">
    <mergeCell ref="B2:H3"/>
    <mergeCell ref="B4:G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44"/>
  <sheetViews>
    <sheetView topLeftCell="A31" workbookViewId="0">
      <selection activeCell="C46" sqref="C46"/>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206</v>
      </c>
      <c r="C6" s="1" t="s">
        <v>205</v>
      </c>
    </row>
    <row r="8" spans="2:8" x14ac:dyDescent="0.35">
      <c r="C8" t="s">
        <v>121</v>
      </c>
      <c r="E8" t="s">
        <v>207</v>
      </c>
    </row>
    <row r="9" spans="2:8" x14ac:dyDescent="0.35">
      <c r="C9" t="s">
        <v>163</v>
      </c>
      <c r="E9" t="str">
        <f>C6</f>
        <v>CORLEY APPLIANCES</v>
      </c>
    </row>
    <row r="12" spans="2:8" x14ac:dyDescent="0.35">
      <c r="B12" s="1" t="s">
        <v>6</v>
      </c>
      <c r="C12" s="1" t="s">
        <v>206</v>
      </c>
    </row>
    <row r="14" spans="2:8" x14ac:dyDescent="0.35">
      <c r="B14" t="s">
        <v>14</v>
      </c>
      <c r="C14" s="1" t="s">
        <v>208</v>
      </c>
    </row>
    <row r="15" spans="2:8" x14ac:dyDescent="0.35">
      <c r="C15" t="s">
        <v>209</v>
      </c>
    </row>
    <row r="16" spans="2:8" x14ac:dyDescent="0.35">
      <c r="C16" t="s">
        <v>210</v>
      </c>
    </row>
    <row r="17" spans="2:3" x14ac:dyDescent="0.35">
      <c r="C17" t="s">
        <v>211</v>
      </c>
    </row>
    <row r="19" spans="2:3" x14ac:dyDescent="0.35">
      <c r="B19" t="s">
        <v>6</v>
      </c>
      <c r="C19" s="1" t="s">
        <v>212</v>
      </c>
    </row>
    <row r="21" spans="2:3" x14ac:dyDescent="0.35">
      <c r="B21" t="s">
        <v>14</v>
      </c>
      <c r="C21" t="s">
        <v>213</v>
      </c>
    </row>
    <row r="22" spans="2:3" x14ac:dyDescent="0.35">
      <c r="C22" t="s">
        <v>214</v>
      </c>
    </row>
    <row r="24" spans="2:3" x14ac:dyDescent="0.35">
      <c r="C24" t="s">
        <v>215</v>
      </c>
    </row>
    <row r="25" spans="2:3" x14ac:dyDescent="0.35">
      <c r="C25" t="s">
        <v>216</v>
      </c>
    </row>
    <row r="27" spans="2:3" x14ac:dyDescent="0.35">
      <c r="C27" t="s">
        <v>217</v>
      </c>
    </row>
    <row r="28" spans="2:3" x14ac:dyDescent="0.35">
      <c r="C28" t="s">
        <v>218</v>
      </c>
    </row>
    <row r="30" spans="2:3" x14ac:dyDescent="0.35">
      <c r="C30" t="s">
        <v>219</v>
      </c>
    </row>
    <row r="31" spans="2:3" x14ac:dyDescent="0.35">
      <c r="C31" t="s">
        <v>220</v>
      </c>
    </row>
    <row r="33" spans="2:3" x14ac:dyDescent="0.35">
      <c r="C33" t="s">
        <v>221</v>
      </c>
    </row>
    <row r="34" spans="2:3" x14ac:dyDescent="0.35">
      <c r="C34" t="s">
        <v>222</v>
      </c>
    </row>
    <row r="36" spans="2:3" x14ac:dyDescent="0.35">
      <c r="C36" t="s">
        <v>223</v>
      </c>
    </row>
    <row r="37" spans="2:3" x14ac:dyDescent="0.35">
      <c r="C37" t="s">
        <v>224</v>
      </c>
    </row>
    <row r="40" spans="2:3" x14ac:dyDescent="0.35">
      <c r="B40" t="s">
        <v>6</v>
      </c>
      <c r="C40" s="1" t="s">
        <v>225</v>
      </c>
    </row>
    <row r="42" spans="2:3" x14ac:dyDescent="0.35">
      <c r="B42" t="s">
        <v>14</v>
      </c>
      <c r="C42" t="s">
        <v>226</v>
      </c>
    </row>
    <row r="43" spans="2:3" x14ac:dyDescent="0.35">
      <c r="C43" t="s">
        <v>227</v>
      </c>
    </row>
    <row r="44" spans="2:3" x14ac:dyDescent="0.35">
      <c r="C44" t="s">
        <v>228</v>
      </c>
    </row>
  </sheetData>
  <mergeCells count="2">
    <mergeCell ref="B2:H3"/>
    <mergeCell ref="B4:G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50"/>
  <sheetViews>
    <sheetView topLeftCell="A31" workbookViewId="0">
      <selection activeCell="C52" sqref="C52"/>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207</v>
      </c>
      <c r="C6" s="1" t="s">
        <v>229</v>
      </c>
    </row>
    <row r="8" spans="2:8" x14ac:dyDescent="0.35">
      <c r="C8" s="1" t="s">
        <v>121</v>
      </c>
      <c r="D8" t="s">
        <v>239</v>
      </c>
    </row>
    <row r="9" spans="2:8" x14ac:dyDescent="0.35">
      <c r="C9" s="1" t="s">
        <v>122</v>
      </c>
      <c r="D9" t="s">
        <v>238</v>
      </c>
      <c r="E9" t="s">
        <v>123</v>
      </c>
    </row>
    <row r="12" spans="2:8" x14ac:dyDescent="0.35">
      <c r="B12" s="1" t="s">
        <v>6</v>
      </c>
      <c r="C12" s="1" t="s">
        <v>240</v>
      </c>
    </row>
    <row r="14" spans="2:8" x14ac:dyDescent="0.35">
      <c r="B14" s="1" t="s">
        <v>14</v>
      </c>
      <c r="C14" t="s">
        <v>241</v>
      </c>
    </row>
    <row r="15" spans="2:8" x14ac:dyDescent="0.35">
      <c r="C15" t="s">
        <v>242</v>
      </c>
    </row>
    <row r="16" spans="2:8" x14ac:dyDescent="0.35">
      <c r="C16" t="s">
        <v>243</v>
      </c>
    </row>
    <row r="18" spans="2:3" x14ac:dyDescent="0.35">
      <c r="B18" t="s">
        <v>6</v>
      </c>
      <c r="C18" s="1" t="s">
        <v>244</v>
      </c>
    </row>
    <row r="20" spans="2:3" x14ac:dyDescent="0.35">
      <c r="B20" t="s">
        <v>14</v>
      </c>
      <c r="C20" t="s">
        <v>245</v>
      </c>
    </row>
    <row r="21" spans="2:3" x14ac:dyDescent="0.35">
      <c r="C21" t="s">
        <v>246</v>
      </c>
    </row>
    <row r="23" spans="2:3" x14ac:dyDescent="0.35">
      <c r="C23" t="s">
        <v>247</v>
      </c>
    </row>
    <row r="24" spans="2:3" x14ac:dyDescent="0.35">
      <c r="C24" t="s">
        <v>248</v>
      </c>
    </row>
    <row r="26" spans="2:3" x14ac:dyDescent="0.35">
      <c r="C26" t="s">
        <v>249</v>
      </c>
    </row>
    <row r="27" spans="2:3" x14ac:dyDescent="0.35">
      <c r="C27" t="s">
        <v>250</v>
      </c>
    </row>
    <row r="29" spans="2:3" x14ac:dyDescent="0.35">
      <c r="C29" t="s">
        <v>251</v>
      </c>
    </row>
    <row r="30" spans="2:3" x14ac:dyDescent="0.35">
      <c r="C30" t="s">
        <v>252</v>
      </c>
    </row>
    <row r="32" spans="2:3" x14ac:dyDescent="0.35">
      <c r="C32" t="s">
        <v>253</v>
      </c>
    </row>
    <row r="33" spans="2:3" x14ac:dyDescent="0.35">
      <c r="C33" t="s">
        <v>254</v>
      </c>
    </row>
    <row r="35" spans="2:3" x14ac:dyDescent="0.35">
      <c r="C35" t="s">
        <v>255</v>
      </c>
    </row>
    <row r="36" spans="2:3" x14ac:dyDescent="0.35">
      <c r="C36" t="s">
        <v>256</v>
      </c>
    </row>
    <row r="38" spans="2:3" x14ac:dyDescent="0.35">
      <c r="B38" t="s">
        <v>6</v>
      </c>
      <c r="C38" s="1" t="s">
        <v>257</v>
      </c>
    </row>
    <row r="40" spans="2:3" x14ac:dyDescent="0.35">
      <c r="B40" t="s">
        <v>14</v>
      </c>
      <c r="C40" t="s">
        <v>258</v>
      </c>
    </row>
    <row r="41" spans="2:3" x14ac:dyDescent="0.35">
      <c r="C41" t="s">
        <v>259</v>
      </c>
    </row>
    <row r="42" spans="2:3" x14ac:dyDescent="0.35">
      <c r="C42" t="s">
        <v>260</v>
      </c>
    </row>
    <row r="43" spans="2:3" x14ac:dyDescent="0.35">
      <c r="C43" t="s">
        <v>261</v>
      </c>
    </row>
    <row r="45" spans="2:3" x14ac:dyDescent="0.35">
      <c r="B45" t="s">
        <v>6</v>
      </c>
      <c r="C45" s="1" t="s">
        <v>262</v>
      </c>
    </row>
    <row r="47" spans="2:3" x14ac:dyDescent="0.35">
      <c r="B47" t="s">
        <v>14</v>
      </c>
      <c r="C47" t="s">
        <v>263</v>
      </c>
    </row>
    <row r="48" spans="2:3" x14ac:dyDescent="0.35">
      <c r="C48" t="s">
        <v>264</v>
      </c>
    </row>
    <row r="49" spans="3:3" x14ac:dyDescent="0.35">
      <c r="C49" t="s">
        <v>265</v>
      </c>
    </row>
    <row r="50" spans="3:3" x14ac:dyDescent="0.35">
      <c r="C50" t="s">
        <v>266</v>
      </c>
    </row>
  </sheetData>
  <mergeCells count="2">
    <mergeCell ref="B2:H3"/>
    <mergeCell ref="B4:G4"/>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53"/>
  <sheetViews>
    <sheetView tabSelected="1" topLeftCell="A44" workbookViewId="0">
      <selection activeCell="H63" sqref="H63"/>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212</v>
      </c>
      <c r="C6" s="1" t="s">
        <v>230</v>
      </c>
    </row>
    <row r="8" spans="2:8" x14ac:dyDescent="0.35">
      <c r="C8" s="1" t="s">
        <v>121</v>
      </c>
      <c r="D8" t="s">
        <v>267</v>
      </c>
    </row>
    <row r="9" spans="2:8" x14ac:dyDescent="0.35">
      <c r="C9" s="1" t="s">
        <v>122</v>
      </c>
      <c r="D9" t="s">
        <v>230</v>
      </c>
    </row>
    <row r="12" spans="2:8" x14ac:dyDescent="0.35">
      <c r="B12" t="s">
        <v>6</v>
      </c>
      <c r="C12" s="1" t="s">
        <v>268</v>
      </c>
    </row>
    <row r="14" spans="2:8" x14ac:dyDescent="0.35">
      <c r="B14" t="s">
        <v>14</v>
      </c>
      <c r="C14" t="s">
        <v>270</v>
      </c>
    </row>
    <row r="15" spans="2:8" x14ac:dyDescent="0.35">
      <c r="C15" t="s">
        <v>269</v>
      </c>
    </row>
    <row r="16" spans="2:8" x14ac:dyDescent="0.35">
      <c r="C16" t="s">
        <v>271</v>
      </c>
    </row>
    <row r="18" spans="2:3" x14ac:dyDescent="0.35">
      <c r="C18" t="s">
        <v>272</v>
      </c>
    </row>
    <row r="19" spans="2:3" x14ac:dyDescent="0.35">
      <c r="C19" t="s">
        <v>273</v>
      </c>
    </row>
    <row r="21" spans="2:3" x14ac:dyDescent="0.35">
      <c r="C21" t="s">
        <v>274</v>
      </c>
    </row>
    <row r="22" spans="2:3" x14ac:dyDescent="0.35">
      <c r="C22" t="s">
        <v>275</v>
      </c>
    </row>
    <row r="24" spans="2:3" x14ac:dyDescent="0.35">
      <c r="C24" t="s">
        <v>276</v>
      </c>
    </row>
    <row r="27" spans="2:3" x14ac:dyDescent="0.35">
      <c r="B27" t="s">
        <v>6</v>
      </c>
      <c r="C27" s="1" t="s">
        <v>277</v>
      </c>
    </row>
    <row r="29" spans="2:3" x14ac:dyDescent="0.35">
      <c r="B29" t="s">
        <v>14</v>
      </c>
      <c r="C29" t="s">
        <v>278</v>
      </c>
    </row>
    <row r="30" spans="2:3" x14ac:dyDescent="0.35">
      <c r="C30" t="s">
        <v>279</v>
      </c>
    </row>
    <row r="32" spans="2:3" x14ac:dyDescent="0.35">
      <c r="C32" t="s">
        <v>280</v>
      </c>
    </row>
    <row r="33" spans="2:3" x14ac:dyDescent="0.35">
      <c r="C33" t="s">
        <v>281</v>
      </c>
    </row>
    <row r="35" spans="2:3" x14ac:dyDescent="0.35">
      <c r="C35" t="s">
        <v>282</v>
      </c>
    </row>
    <row r="36" spans="2:3" x14ac:dyDescent="0.35">
      <c r="C36" t="s">
        <v>283</v>
      </c>
    </row>
    <row r="38" spans="2:3" x14ac:dyDescent="0.35">
      <c r="C38" t="s">
        <v>284</v>
      </c>
    </row>
    <row r="39" spans="2:3" x14ac:dyDescent="0.35">
      <c r="C39" t="s">
        <v>285</v>
      </c>
    </row>
    <row r="41" spans="2:3" x14ac:dyDescent="0.35">
      <c r="C41" t="s">
        <v>286</v>
      </c>
    </row>
    <row r="42" spans="2:3" x14ac:dyDescent="0.35">
      <c r="C42" t="s">
        <v>287</v>
      </c>
    </row>
    <row r="44" spans="2:3" x14ac:dyDescent="0.35">
      <c r="C44" t="s">
        <v>288</v>
      </c>
    </row>
    <row r="45" spans="2:3" x14ac:dyDescent="0.35">
      <c r="C45" t="s">
        <v>289</v>
      </c>
    </row>
    <row r="48" spans="2:3" x14ac:dyDescent="0.35">
      <c r="B48" t="s">
        <v>6</v>
      </c>
      <c r="C48" s="1" t="s">
        <v>290</v>
      </c>
    </row>
    <row r="50" spans="2:3" x14ac:dyDescent="0.35">
      <c r="B50" t="s">
        <v>14</v>
      </c>
      <c r="C50" t="s">
        <v>291</v>
      </c>
    </row>
    <row r="51" spans="2:3" x14ac:dyDescent="0.35">
      <c r="C51" t="s">
        <v>292</v>
      </c>
    </row>
    <row r="52" spans="2:3" x14ac:dyDescent="0.35">
      <c r="C52" t="s">
        <v>293</v>
      </c>
    </row>
    <row r="53" spans="2:3" x14ac:dyDescent="0.35">
      <c r="C53" t="s">
        <v>294</v>
      </c>
    </row>
  </sheetData>
  <mergeCells count="2">
    <mergeCell ref="B2:H3"/>
    <mergeCell ref="B4:G4"/>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6"/>
  <sheetViews>
    <sheetView workbookViewId="0">
      <selection activeCell="B7" sqref="B7"/>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214</v>
      </c>
      <c r="C6" s="1" t="s">
        <v>232</v>
      </c>
    </row>
  </sheetData>
  <mergeCells count="2">
    <mergeCell ref="B2:H3"/>
    <mergeCell ref="B4:G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6"/>
  <sheetViews>
    <sheetView workbookViewId="0">
      <selection activeCell="C7" sqref="C7"/>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v>215</v>
      </c>
      <c r="C6" s="1" t="s">
        <v>231</v>
      </c>
    </row>
  </sheetData>
  <mergeCells count="2">
    <mergeCell ref="B2:H3"/>
    <mergeCell ref="B4:G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12"/>
  <sheetViews>
    <sheetView topLeftCell="A5" workbookViewId="0">
      <selection activeCell="C13" sqref="C13"/>
    </sheetView>
  </sheetViews>
  <sheetFormatPr defaultRowHeight="14.5" x14ac:dyDescent="0.35"/>
  <cols>
    <col min="1" max="1" width="5.54296875" customWidth="1"/>
  </cols>
  <sheetData>
    <row r="2" spans="2:8" x14ac:dyDescent="0.35">
      <c r="B2" s="6" t="s">
        <v>0</v>
      </c>
      <c r="C2" s="6"/>
      <c r="D2" s="6"/>
      <c r="E2" s="6"/>
      <c r="F2" s="6"/>
      <c r="G2" s="6"/>
      <c r="H2" s="6"/>
    </row>
    <row r="3" spans="2:8" x14ac:dyDescent="0.35">
      <c r="B3" s="6"/>
      <c r="C3" s="6"/>
      <c r="D3" s="6"/>
      <c r="E3" s="6"/>
      <c r="F3" s="6"/>
      <c r="G3" s="6"/>
      <c r="H3" s="6"/>
    </row>
    <row r="4" spans="2:8" ht="18.5" x14ac:dyDescent="0.45">
      <c r="B4" s="7" t="s">
        <v>1</v>
      </c>
      <c r="C4" s="7"/>
      <c r="D4" s="7"/>
      <c r="E4" s="7"/>
      <c r="F4" s="7"/>
      <c r="G4" s="7"/>
    </row>
    <row r="6" spans="2:8" x14ac:dyDescent="0.35">
      <c r="B6" s="1"/>
      <c r="C6" s="1"/>
    </row>
    <row r="8" spans="2:8" x14ac:dyDescent="0.35">
      <c r="C8" t="s">
        <v>233</v>
      </c>
    </row>
    <row r="9" spans="2:8" x14ac:dyDescent="0.35">
      <c r="C9" t="s">
        <v>234</v>
      </c>
    </row>
    <row r="10" spans="2:8" x14ac:dyDescent="0.35">
      <c r="C10" t="s">
        <v>235</v>
      </c>
    </row>
    <row r="11" spans="2:8" x14ac:dyDescent="0.35">
      <c r="C11" t="s">
        <v>236</v>
      </c>
    </row>
    <row r="12" spans="2:8" x14ac:dyDescent="0.35">
      <c r="C12" t="s">
        <v>237</v>
      </c>
    </row>
  </sheetData>
  <mergeCells count="2">
    <mergeCell ref="B2:H3"/>
    <mergeCell ref="B4:G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201</vt:lpstr>
      <vt:lpstr>202</vt:lpstr>
      <vt:lpstr>203</vt:lpstr>
      <vt:lpstr>204</vt:lpstr>
      <vt:lpstr>205</vt:lpstr>
      <vt:lpstr>206</vt:lpstr>
      <vt:lpstr>207</vt:lpstr>
      <vt:lpstr>212</vt:lpstr>
      <vt:lpstr>214</vt:lpstr>
      <vt:lpstr>215</vt:lpstr>
      <vt:lpstr>more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RAGHAVENDRA-SKY</dc:creator>
  <cp:keywords>ACCA</cp:keywords>
  <cp:lastModifiedBy>RAGHAVENDRA-SKY</cp:lastModifiedBy>
  <dcterms:created xsi:type="dcterms:W3CDTF">2026-08-21T10:31:41Z</dcterms:created>
  <dcterms:modified xsi:type="dcterms:W3CDTF">2026-09-01T05:12:56Z</dcterms:modified>
</cp:coreProperties>
</file>