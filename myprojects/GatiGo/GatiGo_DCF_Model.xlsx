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nanj\Documents\GitHub\inakm.github.io\myprojects\GatiGo\"/>
    </mc:Choice>
  </mc:AlternateContent>
  <xr:revisionPtr revIDLastSave="0" documentId="13_ncr:1_{732A89ED-87C2-4D91-AE51-16E8D8A0D878}" xr6:coauthVersionLast="47" xr6:coauthVersionMax="47" xr10:uidLastSave="{00000000-0000-0000-0000-000000000000}"/>
  <bookViews>
    <workbookView xWindow="-108" yWindow="-108" windowWidth="30936" windowHeight="18696" tabRatio="500" activeTab="3" xr2:uid="{00000000-000D-0000-FFFF-FFFF00000000}"/>
  </bookViews>
  <sheets>
    <sheet name="HOME" sheetId="1" r:id="rId1"/>
    <sheet name="Assumptions" sheetId="2" r:id="rId2"/>
    <sheet name="Income Statement" sheetId="3" r:id="rId3"/>
    <sheet name="Cash Flow" sheetId="4" r:id="rId4"/>
    <sheet name="DCF Valuation" sheetId="5" r:id="rId5"/>
    <sheet name="Sensitivity Table" sheetId="6" r:id="rId6"/>
    <sheet name="Note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6" l="1"/>
  <c r="B24" i="5"/>
  <c r="B22" i="5"/>
  <c r="D15" i="5"/>
  <c r="B18" i="5"/>
  <c r="D16" i="5"/>
  <c r="D13" i="5"/>
  <c r="B11" i="5"/>
  <c r="C10" i="5"/>
  <c r="B10" i="5"/>
  <c r="D8" i="5"/>
  <c r="C8" i="5"/>
  <c r="B8" i="5"/>
  <c r="B7" i="3"/>
  <c r="B16" i="3" s="1"/>
  <c r="C5" i="3"/>
  <c r="B21" i="5"/>
  <c r="D6" i="5"/>
  <c r="C6" i="5"/>
  <c r="B6" i="5"/>
  <c r="D9" i="4"/>
  <c r="D10" i="4" s="1"/>
  <c r="C9" i="4"/>
  <c r="C10" i="4" s="1"/>
  <c r="B9" i="4"/>
  <c r="B10" i="4" s="1"/>
  <c r="D6" i="4"/>
  <c r="C6" i="4"/>
  <c r="B6" i="4"/>
  <c r="D20" i="3"/>
  <c r="C20" i="3"/>
  <c r="B20" i="3"/>
  <c r="D19" i="3"/>
  <c r="D5" i="4" s="1"/>
  <c r="C19" i="3"/>
  <c r="C5" i="4" s="1"/>
  <c r="B19" i="3"/>
  <c r="B5" i="4" s="1"/>
  <c r="D14" i="3"/>
  <c r="B14" i="3"/>
  <c r="D13" i="3"/>
  <c r="C13" i="3"/>
  <c r="B13" i="3"/>
  <c r="D12" i="3"/>
  <c r="C12" i="3"/>
  <c r="B12" i="3"/>
  <c r="D11" i="3"/>
  <c r="C11" i="3"/>
  <c r="B11" i="3"/>
  <c r="D10" i="3"/>
  <c r="C10" i="3"/>
  <c r="C14" i="3" s="1"/>
  <c r="B10" i="3"/>
  <c r="D8" i="3"/>
  <c r="C8" i="3"/>
  <c r="B8" i="3"/>
  <c r="D4" i="3"/>
  <c r="D5" i="1" s="1"/>
  <c r="C4" i="3"/>
  <c r="C5" i="1" s="1"/>
  <c r="B4" i="3"/>
  <c r="D25" i="1"/>
  <c r="C25" i="1"/>
  <c r="B25" i="1"/>
  <c r="D24" i="1"/>
  <c r="C24" i="1"/>
  <c r="B24" i="1"/>
  <c r="D23" i="1"/>
  <c r="C23" i="1"/>
  <c r="B23" i="1"/>
  <c r="D22" i="1"/>
  <c r="C22" i="1"/>
  <c r="B22" i="1"/>
  <c r="D21" i="1"/>
  <c r="C21" i="1"/>
  <c r="B21" i="1"/>
  <c r="B7" i="1" l="1"/>
  <c r="D5" i="3"/>
  <c r="D6" i="1" s="1"/>
  <c r="C7" i="3"/>
  <c r="B5" i="1"/>
  <c r="D7" i="3"/>
  <c r="C6" i="1"/>
  <c r="D16" i="3" l="1"/>
  <c r="D7" i="1"/>
  <c r="C16" i="3"/>
  <c r="C7" i="1"/>
  <c r="B8" i="1"/>
  <c r="B21" i="3"/>
  <c r="B17" i="3"/>
  <c r="B22" i="3" l="1"/>
  <c r="B23" i="3" s="1"/>
  <c r="C21" i="3"/>
  <c r="C8" i="1"/>
  <c r="C17" i="3"/>
  <c r="D8" i="1"/>
  <c r="D17" i="3"/>
  <c r="D14" i="5"/>
  <c r="D21" i="3"/>
  <c r="B24" i="3" l="1"/>
  <c r="B9" i="1"/>
  <c r="B4" i="4"/>
  <c r="B7" i="4" s="1"/>
  <c r="D22" i="3"/>
  <c r="D23" i="3" s="1"/>
  <c r="C22" i="3"/>
  <c r="C23" i="3"/>
  <c r="D4" i="4" l="1"/>
  <c r="D7" i="4" s="1"/>
  <c r="D9" i="1"/>
  <c r="D24" i="3"/>
  <c r="C9" i="1"/>
  <c r="C24" i="3"/>
  <c r="C4" i="4"/>
  <c r="C7" i="4" s="1"/>
  <c r="B11" i="1"/>
  <c r="B12" i="4"/>
  <c r="E7" i="6" l="1"/>
  <c r="F9" i="6"/>
  <c r="B12" i="1"/>
  <c r="E18" i="6"/>
  <c r="H6" i="6"/>
  <c r="B13" i="4"/>
  <c r="G8" i="6"/>
  <c r="E6" i="6"/>
  <c r="D22" i="6"/>
  <c r="B4" i="5"/>
  <c r="C7" i="6"/>
  <c r="C9" i="6"/>
  <c r="D18" i="6"/>
  <c r="B9" i="6"/>
  <c r="G6" i="6"/>
  <c r="B22" i="6"/>
  <c r="F18" i="6"/>
  <c r="D9" i="6"/>
  <c r="B7" i="6"/>
  <c r="B21" i="6"/>
  <c r="H10" i="6"/>
  <c r="F8" i="6"/>
  <c r="D6" i="6"/>
  <c r="F20" i="6"/>
  <c r="G10" i="6"/>
  <c r="E8" i="6"/>
  <c r="C6" i="6"/>
  <c r="E20" i="6"/>
  <c r="D10" i="6"/>
  <c r="B8" i="6"/>
  <c r="B20" i="6"/>
  <c r="C10" i="6"/>
  <c r="H7" i="6"/>
  <c r="F19" i="6"/>
  <c r="B10" i="6"/>
  <c r="G7" i="6"/>
  <c r="C11" i="1"/>
  <c r="C12" i="4"/>
  <c r="F7" i="6" s="1"/>
  <c r="D11" i="1"/>
  <c r="D12" i="4"/>
  <c r="B18" i="6" s="1"/>
  <c r="B13" i="1" l="1"/>
  <c r="C13" i="4"/>
  <c r="C20" i="6"/>
  <c r="C21" i="6"/>
  <c r="E9" i="6"/>
  <c r="G9" i="6"/>
  <c r="C8" i="6"/>
  <c r="F6" i="6"/>
  <c r="B19" i="6"/>
  <c r="D19" i="6"/>
  <c r="E10" i="6"/>
  <c r="H8" i="6"/>
  <c r="C22" i="6"/>
  <c r="E22" i="6"/>
  <c r="D20" i="6"/>
  <c r="C18" i="6"/>
  <c r="D4" i="5"/>
  <c r="D12" i="1"/>
  <c r="D21" i="6"/>
  <c r="H9" i="6"/>
  <c r="D8" i="6"/>
  <c r="E21" i="6"/>
  <c r="D7" i="6"/>
  <c r="E19" i="6"/>
  <c r="C4" i="5"/>
  <c r="C12" i="1"/>
  <c r="F10" i="6"/>
  <c r="F21" i="6"/>
  <c r="C19" i="6"/>
  <c r="F22" i="6"/>
  <c r="C13" i="1" l="1"/>
  <c r="D13" i="4"/>
  <c r="D13" i="1" s="1"/>
  <c r="D10" i="5"/>
  <c r="B20" i="5" l="1"/>
  <c r="B15" i="1"/>
  <c r="B25" i="5"/>
  <c r="B16" i="1" l="1"/>
  <c r="B17" i="1"/>
</calcChain>
</file>

<file path=xl/sharedStrings.xml><?xml version="1.0" encoding="utf-8"?>
<sst xmlns="http://schemas.openxmlformats.org/spreadsheetml/2006/main" count="287" uniqueCount="217">
  <si>
    <t>GatiGo -- DCF Model Summary Dashboard</t>
  </si>
  <si>
    <t>One-page summary of the entire DCF model. All numbers link to their source sheets. Change any assumption -- this updates.</t>
  </si>
  <si>
    <t>Line Item</t>
  </si>
  <si>
    <t>FY 2026</t>
  </si>
  <si>
    <t>FY 2027</t>
  </si>
  <si>
    <t>FY 2028</t>
  </si>
  <si>
    <t>Notes</t>
  </si>
  <si>
    <t>INCOME STATEMENT SUMMARY</t>
  </si>
  <si>
    <t>Total Revenue</t>
  </si>
  <si>
    <t>FY26 = Rs 82.9L. FY27 = Rs 1.9Cr. FY28 = Rs 3.8Cr.</t>
  </si>
  <si>
    <t>Revenue Growth %</t>
  </si>
  <si>
    <t>"-"</t>
  </si>
  <si>
    <t>Strong growth driven by user scale and corporate partnerships.</t>
  </si>
  <si>
    <t>Gross Profit</t>
  </si>
  <si>
    <t>Thin margin in FY26 (1.6% -- actual Q1). Improves to 35% by FY28.</t>
  </si>
  <si>
    <t>EBITDA</t>
  </si>
  <si>
    <t>Negative in FY26. Turns positive in FY27 as gross profit outgrows fixed costs.</t>
  </si>
  <si>
    <t>Net Profit / Loss</t>
  </si>
  <si>
    <t>Loss in FY26 (Rs 1.8Cr full-year). Recovery path visible by FY28.</t>
  </si>
  <si>
    <t>CASH FLOW SUMMARY</t>
  </si>
  <si>
    <t>Operating Cash Flow</t>
  </si>
  <si>
    <t>Cash used or generated by operations each year.</t>
  </si>
  <si>
    <t>Free Cash Flow</t>
  </si>
  <si>
    <t>Cash available to investors. Used in the DCF valuation.</t>
  </si>
  <si>
    <t>Cumulative FCF</t>
  </si>
  <si>
    <t>Running cash position. Shows when business stops burning cash.</t>
  </si>
  <si>
    <t>DCF VALUATION SUMMARY</t>
  </si>
  <si>
    <t>Enterprise Value (EV)</t>
  </si>
  <si>
    <t>Sum of discounted FCFs plus discounted Terminal Value. See DCF Valuation sheet for detail.</t>
  </si>
  <si>
    <t>Equity Value (EV minus Net Debt)</t>
  </si>
  <si>
    <t>EV minus Rs 15L seed loan. What shareholders own.</t>
  </si>
  <si>
    <t>Value per Share (Rs)</t>
  </si>
  <si>
    <t>Equity Value divided by 1 million shares. Negative value means losses exceed terminal value at current assumptions.</t>
  </si>
  <si>
    <t>KEY ASSUMPTIONS USED IN THIS MODEL</t>
  </si>
  <si>
    <t>Assumption</t>
  </si>
  <si>
    <t>Meaning</t>
  </si>
  <si>
    <t>Gross Margin %</t>
  </si>
  <si>
    <t>How much of each Rs 1 revenue stays after variable costs</t>
  </si>
  <si>
    <t>Discount Rate (WACC)</t>
  </si>
  <si>
    <t>Risk rate. Higher = lower valuation</t>
  </si>
  <si>
    <t>Terminal Growth Rate</t>
  </si>
  <si>
    <t>Growth assumed after Year 3 (forever)</t>
  </si>
  <si>
    <t>EBITDA Multiple</t>
  </si>
  <si>
    <t>Backup valuation method</t>
  </si>
  <si>
    <t>Total Shares</t>
  </si>
  <si>
    <t>Shares used to compute per-share value</t>
  </si>
  <si>
    <t>NOT a real startup. GatiGo is an academic design concept. All figures are hypothetical and for educational purposes only.</t>
  </si>
  <si>
    <t>Model by Anjani Kumar Mishra</t>
  </si>
  <si>
    <t>A  Revenue Scale (annual totals -- FY 2026 = 4x Q1 annualised)</t>
  </si>
  <si>
    <t>Total Annual Revenue (Rs)</t>
  </si>
  <si>
    <t>Rs</t>
  </si>
  <si>
    <t>FY26 = full-year forecast from Revenue Forecast file. FY27/28 = 2.3x and 2.0x growth.</t>
  </si>
  <si>
    <t>Revenue Growth Rate</t>
  </si>
  <si>
    <t>%</t>
  </si>
  <si>
    <t>FY26 baseline. FY27 grows 132% (early stage scale-up). FY28 grows 100%.</t>
  </si>
  <si>
    <t>B  Gross Margin and Cost Assumptions</t>
  </si>
  <si>
    <t>FY26 = actual Q1 gross margin 1.6%. Improves as revenue scales over variable costs.</t>
  </si>
  <si>
    <t>Operating Expense -- Annual (Rs)</t>
  </si>
  <si>
    <t>FY26 = Q1 actual OpEx 1,461,000 x12. FY27/28 grow at 37% then 30% (hiring + infra).</t>
  </si>
  <si>
    <t>Depreciation -- Annual (Rs)</t>
  </si>
  <si>
    <t>FY26 = Q1 actual 10,500 x12. Grows with new devices and equipment.</t>
  </si>
  <si>
    <t>Interest Expense -- Annual (Rs)</t>
  </si>
  <si>
    <t>FY26 = Q1 actual 37,500 x4. Reduces as seed loan is partially repaid.</t>
  </si>
  <si>
    <t>C  Tax</t>
  </si>
  <si>
    <t>Tax Rate</t>
  </si>
  <si>
    <t>0% FY26 and FY27 -- losses carried forward. 25% FY28 if profitable (Indian corp tax).</t>
  </si>
  <si>
    <t>D  Working Capital</t>
  </si>
  <si>
    <t>Change in Working Capital -- Annual (Rs)</t>
  </si>
  <si>
    <t>Negative = cash tied up as business grows. More users = more prepaid marketing spend.</t>
  </si>
  <si>
    <t>E  Capital Expenditure (CapEx)</t>
  </si>
  <si>
    <t>Capital Expenditure -- Annual (Rs)</t>
  </si>
  <si>
    <t>FY26 = laptops and devices (actual ~20K/mo). FY27 = server infra. FY28 = office build-out.</t>
  </si>
  <si>
    <t>F  DCF Valuation Inputs</t>
  </si>
  <si>
    <t>25% is typical for early-stage Indian startups. Reflects high risk.</t>
  </si>
  <si>
    <t>4% = long-run growth of Indian GDP. Applied after Year 3.</t>
  </si>
  <si>
    <t>Terminal Year EBITDA Multiple</t>
  </si>
  <si>
    <t>10x EBITDA is conservative for a growth-stage mobility app. BlaBlaCar traded at ~15x; QuickRide at ~8-12x.</t>
  </si>
  <si>
    <t>G  Share Capital (for per-share valuation)</t>
  </si>
  <si>
    <t>Total Shares Outstanding</t>
  </si>
  <si>
    <t>#</t>
  </si>
  <si>
    <t>1 million shares assumed. Adjust to match actual cap table.</t>
  </si>
  <si>
    <t>REVENUE</t>
  </si>
  <si>
    <t>Annual total. FY26 = full-year forecast from Revenue Forecast model.</t>
  </si>
  <si>
    <t>Year-on-year growth. FY26 is the base year so no growth % shown.</t>
  </si>
  <si>
    <t>GROSS PROFIT</t>
  </si>
  <si>
    <t>Revenue x Gross Margin %. Margin improves each year as scale reduces variable cost per ride.</t>
  </si>
  <si>
    <t>From Assumptions sheet. FY26 = 1.6% actual (Q1). Grows to 22% by FY27 as rides scale.</t>
  </si>
  <si>
    <t>OPERATING EXPENSES</t>
  </si>
  <si>
    <t>Total Operating Expenses</t>
  </si>
  <si>
    <t>Q1 actual OpEx = Rs 1,461,000. Annualised and projected forward.</t>
  </si>
  <si>
    <t xml:space="preserve">      Salaries (est. 50% of OpEx)</t>
  </si>
  <si>
    <t>Q1 actual salaries = Rs 795,000 (54% of OpEx). Used 50% for simplicity.</t>
  </si>
  <si>
    <t xml:space="preserve">      Marketing (est. 23% of OpEx)</t>
  </si>
  <si>
    <t>Q1 actual marketing = Rs 330,000 (23% of OpEx). Matches actuals.</t>
  </si>
  <si>
    <t xml:space="preserve">      Cloud and Infra (est. 8% of OpEx)</t>
  </si>
  <si>
    <t>Q1 actual cloud = Rs 115,000 (7.9% of OpEx). Matches actuals.</t>
  </si>
  <si>
    <t xml:space="preserve">      Other Fixed Costs (remaining 19%)</t>
  </si>
  <si>
    <t>Office, legal, support, insurance, misc. Q1 actual = Rs 221,000.</t>
  </si>
  <si>
    <t>Gross Profit minus OpEx. FY26 is negative (early stage loss). Q1 actual EBITDA = Rs (14,46,041).</t>
  </si>
  <si>
    <t>EBITDA Margin %</t>
  </si>
  <si>
    <t>EBITDA divided by Revenue. Negative in FY26. Improves as revenue scales.</t>
  </si>
  <si>
    <t>BELOW THE LINE</t>
  </si>
  <si>
    <t>Depreciation</t>
  </si>
  <si>
    <t>Q1 actual = Rs 10,500. Annualised to Rs 42,000. Grows with new assets.</t>
  </si>
  <si>
    <t>Interest Expense</t>
  </si>
  <si>
    <t>Q1 actual = Rs 37,500. Annualised to Rs 1,50,000. Reduces as loan repays.</t>
  </si>
  <si>
    <t>Earnings Before Tax (EBT)</t>
  </si>
  <si>
    <t>EBITDA minus D&amp;A minus Interest. Q1 actual = Rs (14,94,041).</t>
  </si>
  <si>
    <t>Tax</t>
  </si>
  <si>
    <t>Tax rate from Assumptions. 0% in FY26/27 due to loss carry-forward. 25% Indian corporate tax rate in FY28 if profitable.</t>
  </si>
  <si>
    <t>Bottom line. Q1 actual net loss = Rs (14,94,041). FY26 full-year loss driven by high fixed costs vs early revenue.</t>
  </si>
  <si>
    <t>Net Margin %</t>
  </si>
  <si>
    <t>Net Profit divided by Revenue.</t>
  </si>
  <si>
    <t>GatiGo -- 3-Year Cash Flow Statement  (amounts in Rs)</t>
  </si>
  <si>
    <t>Cash flow = how much actual cash the business generates or uses each year. Free Cash Flow (FCF) is used in the DCF valuation.</t>
  </si>
  <si>
    <t>PART 1 -- OPERATING CASH FLOW  (cash from running the business)</t>
  </si>
  <si>
    <t>Starting point. Pulled from Income Statement.</t>
  </si>
  <si>
    <t xml:space="preserve">    Add back: Depreciation</t>
  </si>
  <si>
    <t>Depreciation is a non-cash expense. We add it back because no cash left the business when we recorded it.</t>
  </si>
  <si>
    <t xml:space="preserve">    Change in Working Capital</t>
  </si>
  <si>
    <t>Negative = cash used as business grows (more users = more upfront marketing and driver incentive payments).</t>
  </si>
  <si>
    <t>Cash actually generated (or used) by operations.</t>
  </si>
  <si>
    <t>PART 2 -- INVESTING CASH FLOW  (cash spent on assets)</t>
  </si>
  <si>
    <t>Capital Expenditure (CapEx)</t>
  </si>
  <si>
    <t>Negative because spending cash. FY26 = devices and laptops. FY27 = server infra. FY28 = office build-out.</t>
  </si>
  <si>
    <t>Investing Cash Flow</t>
  </si>
  <si>
    <t>Only CapEx for now. No acquisitions modelled.</t>
  </si>
  <si>
    <t>PART 3 -- FREE CASH FLOW  (the number used in the DCF)</t>
  </si>
  <si>
    <t>Free Cash Flow (FCF)</t>
  </si>
  <si>
    <t>Operating Cash Flow + Investing Cash Flow. This is the cash available to investors. Used in the DCF calculation.</t>
  </si>
  <si>
    <t>Running total of cash position. Shows when the business stops burning cash.</t>
  </si>
  <si>
    <t>GatiGo -- Discounted Cash Flow (DCF) Valuation</t>
  </si>
  <si>
    <t>STEP 1 -- Free Cash Flow (from Cash Flow sheet)</t>
  </si>
  <si>
    <t>Pulled from Cash Flow sheet. This is the cash investors actually receive.</t>
  </si>
  <si>
    <t>STEP 2 -- Discount Rate (WACC)</t>
  </si>
  <si>
    <t>From Assumptions sheet. 25% = typical rate for high-risk early-stage startup.</t>
  </si>
  <si>
    <t>Year Number</t>
  </si>
  <si>
    <t>Year 1 = FY2026. Year 2 = FY2027. Year 3 = FY2028.</t>
  </si>
  <si>
    <t>Discount Factor</t>
  </si>
  <si>
    <t xml:space="preserve"> =1 / (1 + wacc) ^ year number. year 1 factor = 0.8. year 2 = 0.64. year 3 = 0.51. converts future cash to today's value.</t>
  </si>
  <si>
    <t>STEP 3 -- Present Value of Each Year's Cash Flow</t>
  </si>
  <si>
    <t>Present Value of FCF</t>
  </si>
  <si>
    <t>FCF x Discount Factor. This is how much each year's cash is worth in today's money.</t>
  </si>
  <si>
    <t>Sum of PV of FCF (Years 1-3)</t>
  </si>
  <si>
    <t>Total of all three discounted cash flows. Shown in FY2026 column.</t>
  </si>
  <si>
    <t>STEP 4 -- Terminal Value  (value of business after Year 3)</t>
  </si>
  <si>
    <t>Terminal Value -- Growth Method</t>
  </si>
  <si>
    <t xml:space="preserve"> =fcf year 3 x (1 + growth rate) / (wacc - growth rate). gordon growth model. assumes business grows at 4% forever after year 3</t>
  </si>
  <si>
    <t>Terminal Value -- EBITDA Multiple</t>
  </si>
  <si>
    <t xml:space="preserve"> =year 3 ebitda x multiple from assumptions. if ebitda is negative in FY28, this gives a negative tv -- see note.</t>
  </si>
  <si>
    <t>Terminal Value Used (Growth Method)</t>
  </si>
  <si>
    <t>Using Growth Method as primary. EBITDA Multiple shown for reference.</t>
  </si>
  <si>
    <t>PV of Terminal Value</t>
  </si>
  <si>
    <t>Terminal Value discounted back to today using Year 3 discount factor.</t>
  </si>
  <si>
    <t>STEP 5 -- Enterprise Value and Equity Value</t>
  </si>
  <si>
    <t xml:space="preserve"> =sum of discounted fcfs + discounted terminal value. this is the total value of the business.</t>
  </si>
  <si>
    <t>Seed Loan Outstanding (Net Debt)</t>
  </si>
  <si>
    <t>Rs 15L seed loan (from Q1 actual assumptions -- loan at 10% p.a.). Subtract from EV to get Equity Value.</t>
  </si>
  <si>
    <t>Equity Value</t>
  </si>
  <si>
    <t>Enterprise Value minus Net Debt. This is what shareholders own.</t>
  </si>
  <si>
    <t>Shares Outstanding</t>
  </si>
  <si>
    <t>From Assumptions sheet. 1 million shares assumed.</t>
  </si>
  <si>
    <t>Equity Value divided by number of shares. Negative if losses outweigh terminal value -- means the model needs more revenue scale.</t>
  </si>
  <si>
    <t>STEP 6 -- Quick Sanity Check</t>
  </si>
  <si>
    <t>Revenue / EV Multiple (EV / FY28 Revenue)</t>
  </si>
  <si>
    <t>EV divided by FY2028 Revenue. A healthy growth startup trades at 2-5x revenue. If this is very negative, the terminal value is being dragged down by losses.</t>
  </si>
  <si>
    <t>EBITDA Multiple Check (EV / FY28 EBITDA)</t>
  </si>
  <si>
    <t>EV divided by FY2028 EBITDA. Meaningful only if EBITDA is positive. Comparable: BlaBlaCar ~15x, QuickRide ~8-12x EBITDA.</t>
  </si>
  <si>
    <t>GatiGo -- Sensitivity Analysis  |  How EV changes with WACC and Revenue</t>
  </si>
  <si>
    <t>TABLE A -- Enterprise Value (Rs) at different Discount Rates (WACC) and FY28 Revenue Multiples</t>
  </si>
  <si>
    <t>WACC (down) vs FY28 Revenue Multiple (across)</t>
  </si>
  <si>
    <t>WACC Rate</t>
  </si>
  <si>
    <t>Rev x0.5</t>
  </si>
  <si>
    <t>Rev x0.75</t>
  </si>
  <si>
    <t>Rev x1.0</t>
  </si>
  <si>
    <t>Rev x1.25</t>
  </si>
  <si>
    <t>Rev x1.5</t>
  </si>
  <si>
    <t>Rev x2.0</t>
  </si>
  <si>
    <t>Rev x2.5</t>
  </si>
  <si>
    <t>15%</t>
  </si>
  <si>
    <t>20%</t>
  </si>
  <si>
    <t>25%</t>
  </si>
  <si>
    <t>30%</t>
  </si>
  <si>
    <t>35%</t>
  </si>
  <si>
    <t>Highlighted row = base WACC (25%). Highlighted column = base revenue (1.0x). The intersecting cell matches the DCF Valuation sheet Enterprise Value.</t>
  </si>
  <si>
    <t>TABLE B -- Enterprise Value (Rs) at different Terminal Growth Rates and WACC</t>
  </si>
  <si>
    <t>Terminal Growth Rate (down) vs WACC (across)</t>
  </si>
  <si>
    <t>Terminal Growth</t>
  </si>
  <si>
    <t>WACC 15%</t>
  </si>
  <si>
    <t>WACC 20%</t>
  </si>
  <si>
    <t>WACC 25%</t>
  </si>
  <si>
    <t>WACC 30%</t>
  </si>
  <si>
    <t>WACC 35%</t>
  </si>
  <si>
    <t>2%</t>
  </si>
  <si>
    <t>3%</t>
  </si>
  <si>
    <t>4%</t>
  </si>
  <si>
    <t>5%</t>
  </si>
  <si>
    <t>6%</t>
  </si>
  <si>
    <t>Highlighted row = base terminal growth rate (4%). Highlighted column = base WACC (25%).</t>
  </si>
  <si>
    <t>GatiGo -- DCF Model Notes, Methodology and Limitations</t>
  </si>
  <si>
    <t>What is a DCF?</t>
  </si>
  <si>
    <t>A Discounted Cash Flow (DCF) model estimates what a business is worth today, based on the cash it is expected to generate in the future. Future cash is worth less than cash today (because of risk and inflation), so we discount it back using a rate called WACC.</t>
  </si>
  <si>
    <t>What is WACC?</t>
  </si>
  <si>
    <t>WACC stands for Weighted Average Cost of Capital. It represents the minimum return investors expect for the risk they are taking. For an early-stage startup like GatiGo, 25% is used -- much higher than a stable company (which might use 8-12%) because the risk of failure is higher.</t>
  </si>
  <si>
    <t>What is Terminal Value?</t>
  </si>
  <si>
    <t>A 3-year model only captures 3 years of cash flows. But a business (if successful) keeps generating cash beyond Year 3. The Terminal Value captures all that future value in one number. We used the Gordon Growth Model: TV = FCF x (1+g) / (WACC - g).</t>
  </si>
  <si>
    <t>Why is EV sometimes negative?</t>
  </si>
  <si>
    <t>When a startup has large losses and small revenues in early years, the discounted losses can outweigh the discounted terminal value. This does not mean the business is worthless -- it means the model needs better revenue growth assumptions, or a longer projection period, or a lower discount rate. Real VC investors use 5-10 year models.</t>
  </si>
  <si>
    <t>Q1 Anchor Values</t>
  </si>
  <si>
    <t>FY 2026 inputs are anchored to Q1 actual results from GatiGo_Clean_Dashboard.xlsx:
  Total Q1 Revenue = Rs 9,25,879
  Total Q1 EBITDA = Rs (14,46,041)
  Total Q1 Net Loss = Rs (14,94,041)
  Total Q1 Rides = 15,460
  Gross Margin Q1 = 1.6%
Full-year FY2026 = derived from Revenue Forecast model (Rs 82.86L total revenue).</t>
  </si>
  <si>
    <t>Key Limitations</t>
  </si>
  <si>
    <t>1. This model has only 3 years. Real DCF models use 5-10 years for startups.
2. Working capital and CapEx are estimated -- actual figures would need detailed planning.
3. The model does not account for new funding rounds that would dilute shares.
4. Tax loss carry-forward is assumed but not modelled in detail.
5. All figures are for an academic project -- not a real business.</t>
  </si>
  <si>
    <t>Author and Disclaimer</t>
  </si>
  <si>
    <t>Model by Anjani Kumar Mishra
Portfolio: https://inakm.github.io
LinkedIn: https://www.linkedin.com/in/inakmm
Project: https://inakm.github.io/page/projects/gatigo.html
NOT a real startup. GatiGo is an academic design concept. All financial figures are completely made up for educational purposes only.</t>
  </si>
  <si>
    <t xml:space="preserve">GatiGo - DCF Model Assumptions </t>
  </si>
  <si>
    <t>GatiGo - 3-Year Income Statement  (all amounts in 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</si>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</sst>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quot;(₹&quot;#,##0\);\-"/>
    <numFmt numFmtId="165" formatCode="0.0%;\(0.0%\);\-"/>
    <numFmt numFmtId="166" formatCode="\₹#,##0.00;&quot;(₹&quot;#,##0.00\);\-"/>
    <numFmt numFmtId="167" formatCode="0.0\x"/>
    <numFmt numFmtId="168" formatCode="#,##0;\(#,##0\);\-"/>
    <numFmt numFmtId="169" formatCode="0.000"/>
    <numFmt numFmtId="170" formatCode="0.00\x"/>
  </numFmts>
  <fonts count="16" x14ac:knownFonts="1">
    <font>
      <sz val="11"/>
      <color theme="1"/>
      <name val="Calibri"/>
      <family val="2"/>
      <charset val="1"/>
    </font>
    <font>
      <b/>
      <sz val="13"/>
      <color rgb="FFFFFFFF"/>
      <name val="Arial"/>
      <charset val="1"/>
    </font>
    <font>
      <i/>
      <sz val="9"/>
      <color rgb="FF546E7A"/>
      <name val="Arial"/>
      <charset val="1"/>
    </font>
    <font>
      <b/>
      <sz val="9"/>
      <color rgb="FFFFFFFF"/>
      <name val="Arial"/>
      <charset val="1"/>
    </font>
    <font>
      <b/>
      <sz val="9"/>
      <color rgb="FF0D1B2A"/>
      <name val="Arial"/>
      <charset val="1"/>
    </font>
    <font>
      <b/>
      <sz val="9"/>
      <color rgb="FF1B6B1B"/>
      <name val="Arial"/>
      <charset val="1"/>
    </font>
    <font>
      <i/>
      <sz val="8"/>
      <color rgb="FF546E7A"/>
      <name val="Arial"/>
      <charset val="1"/>
    </font>
    <font>
      <sz val="9"/>
      <color rgb="FF1B6B1B"/>
      <name val="Arial"/>
      <charset val="1"/>
    </font>
    <font>
      <sz val="9"/>
      <color rgb="FF000000"/>
      <name val="Arial"/>
      <charset val="1"/>
    </font>
    <font>
      <i/>
      <sz val="8"/>
      <color rgb="FF888888"/>
      <name val="Arial"/>
      <charset val="1"/>
    </font>
    <font>
      <b/>
      <sz val="9"/>
      <color rgb="FF0000FF"/>
      <name val="Arial"/>
      <charset val="1"/>
    </font>
    <font>
      <b/>
      <sz val="9"/>
      <color rgb="FF000000"/>
      <name val="Arial"/>
      <charset val="1"/>
    </font>
    <font>
      <sz val="9"/>
      <color rgb="FF546E7A"/>
      <name val="Arial"/>
      <charset val="1"/>
    </font>
    <font>
      <b/>
      <sz val="9"/>
      <color rgb="FFE65100"/>
      <name val="Arial"/>
      <charset val="1"/>
    </font>
    <font>
      <b/>
      <sz val="10"/>
      <color rgb="FFFFFFFF"/>
      <name val="Arial"/>
      <charset val="1"/>
    </font>
    <font>
      <sz val="9"/>
      <color rgb="FF37474F"/>
      <name val="Arial"/>
      <charset val="1"/>
    </font>
  </fonts>
  <fills count="15">
    <fill>
      <patternFill patternType="none"/>
    </fill>
    <fill>
      <patternFill patternType="gray125"/>
    </fill>
    <fill>
      <patternFill patternType="solid">
        <fgColor rgb="FF0D1B2A"/>
        <bgColor rgb="FF000000"/>
      </patternFill>
    </fill>
    <fill>
      <patternFill patternType="solid">
        <fgColor rgb="FFF5F5F5"/>
        <bgColor rgb="FFFAFAFA"/>
      </patternFill>
    </fill>
    <fill>
      <patternFill patternType="solid">
        <fgColor rgb="FF1565C0"/>
        <bgColor rgb="FF3366FF"/>
      </patternFill>
    </fill>
    <fill>
      <patternFill patternType="solid">
        <fgColor rgb="FF00695C"/>
        <bgColor rgb="FF008080"/>
      </patternFill>
    </fill>
    <fill>
      <patternFill patternType="solid">
        <fgColor rgb="FF283593"/>
        <bgColor rgb="FF003366"/>
      </patternFill>
    </fill>
    <fill>
      <patternFill patternType="solid">
        <fgColor rgb="FF37474F"/>
        <bgColor rgb="FF283593"/>
      </patternFill>
    </fill>
    <fill>
      <patternFill patternType="solid">
        <fgColor rgb="FFE3F2FD"/>
        <bgColor rgb="FFF5F5F5"/>
      </patternFill>
    </fill>
    <fill>
      <patternFill patternType="solid">
        <fgColor rgb="FFFAFAFA"/>
        <bgColor rgb="FFFFFFFF"/>
      </patternFill>
    </fill>
    <fill>
      <patternFill patternType="solid">
        <fgColor rgb="FFFFFDE7"/>
        <bgColor rgb="FFFAFAFA"/>
      </patternFill>
    </fill>
    <fill>
      <patternFill patternType="solid">
        <fgColor rgb="FF4A148C"/>
        <bgColor rgb="FF283593"/>
      </patternFill>
    </fill>
    <fill>
      <patternFill patternType="solid">
        <fgColor rgb="FFF3E5F5"/>
        <bgColor rgb="FFF5F5F5"/>
      </patternFill>
    </fill>
    <fill>
      <patternFill patternType="solid">
        <fgColor rgb="FFFFF3E0"/>
        <bgColor rgb="FFFFFDE7"/>
      </patternFill>
    </fill>
    <fill>
      <patternFill patternType="solid">
        <fgColor rgb="FFB71C1C"/>
        <bgColor rgb="FF993366"/>
      </patternFill>
    </fill>
  </fills>
  <borders count="5">
    <border>
      <left/>
      <right/>
      <top/>
      <bottom/>
      <diagonal/>
    </border>
    <border>
      <left style="thin">
        <color rgb="FF90A4AE"/>
      </left>
      <right/>
      <top style="thin">
        <color rgb="FF90A4AE"/>
      </top>
      <bottom style="thin">
        <color rgb="FF90A4AE"/>
      </bottom>
      <diagonal/>
    </border>
    <border>
      <left style="thin">
        <color rgb="FF90A4AE"/>
      </left>
      <right style="thin">
        <color rgb="FF90A4AE"/>
      </right>
      <top style="thin">
        <color rgb="FF90A4AE"/>
      </top>
      <bottom style="thin">
        <color rgb="FF90A4AE"/>
      </bottom>
      <diagonal/>
    </border>
    <border>
      <left style="thin">
        <color rgb="FF90A4AE"/>
      </left>
      <right style="thin">
        <color rgb="FF90A4AE"/>
      </right>
      <top style="thin">
        <color rgb="FF90A4AE"/>
      </top>
      <bottom style="medium">
        <color rgb="FF0D1B2A"/>
      </bottom>
      <diagonal/>
    </border>
    <border>
      <left/>
      <right/>
      <top style="thin">
        <color rgb="FF90A4AE"/>
      </top>
      <bottom style="thin">
        <color rgb="FF90A4AE"/>
      </bottom>
      <diagonal/>
    </border>
  </borders>
  <cellStyleXfs count="1">
    <xf numFmtId="0" fontId="0" fillId="0" borderId="0"/>
  </cellStyleXfs>
  <cellXfs count="70">
    <xf numFmtId="0" fontId="0" fillId="0" borderId="0" xfId="0"/>
    <xf numFmtId="0" fontId="9" fillId="3" borderId="0" xfId="0" applyFont="1" applyFill="1" applyAlignment="1">
      <alignment horizontal="left" vertical="center"/>
    </xf>
    <xf numFmtId="0" fontId="3"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4" fillId="8" borderId="2" xfId="0" applyFont="1" applyFill="1" applyBorder="1" applyAlignment="1">
      <alignment horizontal="left" vertical="center"/>
    </xf>
    <xf numFmtId="164" fontId="5" fillId="8" borderId="3" xfId="0" applyNumberFormat="1" applyFont="1" applyFill="1" applyBorder="1" applyAlignment="1">
      <alignment horizontal="right" vertical="center"/>
    </xf>
    <xf numFmtId="0" fontId="6" fillId="8" borderId="2" xfId="0" applyFont="1" applyFill="1" applyBorder="1" applyAlignment="1">
      <alignment horizontal="left" vertical="center" wrapText="1"/>
    </xf>
    <xf numFmtId="0" fontId="7" fillId="9" borderId="2" xfId="0" applyFont="1" applyFill="1" applyBorder="1" applyAlignment="1">
      <alignment horizontal="left" vertical="center"/>
    </xf>
    <xf numFmtId="165" fontId="7" fillId="9" borderId="2" xfId="0" applyNumberFormat="1" applyFont="1" applyFill="1" applyBorder="1" applyAlignment="1">
      <alignment horizontal="right" vertical="center"/>
    </xf>
    <xf numFmtId="0" fontId="6" fillId="9" borderId="2" xfId="0" applyFont="1" applyFill="1" applyBorder="1" applyAlignment="1">
      <alignment horizontal="left" vertical="center" wrapText="1"/>
    </xf>
    <xf numFmtId="164" fontId="7" fillId="9" borderId="2" xfId="0" applyNumberFormat="1" applyFont="1" applyFill="1" applyBorder="1" applyAlignment="1">
      <alignment horizontal="right" vertical="center"/>
    </xf>
    <xf numFmtId="164" fontId="5" fillId="8" borderId="2" xfId="0" applyNumberFormat="1" applyFont="1" applyFill="1" applyBorder="1" applyAlignment="1">
      <alignment horizontal="right" vertical="center"/>
    </xf>
    <xf numFmtId="0" fontId="8" fillId="8" borderId="3" xfId="0" applyFont="1" applyFill="1" applyBorder="1" applyAlignment="1">
      <alignment horizontal="center" vertical="center"/>
    </xf>
    <xf numFmtId="166" fontId="5" fillId="8" borderId="3" xfId="0" applyNumberFormat="1" applyFont="1" applyFill="1" applyBorder="1" applyAlignment="1">
      <alignment horizontal="right" vertical="center"/>
    </xf>
    <xf numFmtId="0" fontId="3" fillId="7" borderId="2" xfId="0" applyFont="1" applyFill="1" applyBorder="1" applyAlignment="1">
      <alignment horizontal="center"/>
    </xf>
    <xf numFmtId="0" fontId="8" fillId="9" borderId="2" xfId="0" applyFont="1" applyFill="1" applyBorder="1" applyAlignment="1">
      <alignment horizontal="left" vertical="center"/>
    </xf>
    <xf numFmtId="165" fontId="7" fillId="3" borderId="2" xfId="0" applyNumberFormat="1" applyFont="1" applyFill="1" applyBorder="1" applyAlignment="1">
      <alignment horizontal="right" vertical="center"/>
    </xf>
    <xf numFmtId="167" fontId="7" fillId="3" borderId="2" xfId="0" applyNumberFormat="1" applyFont="1" applyFill="1" applyBorder="1" applyAlignment="1">
      <alignment horizontal="right" vertical="center"/>
    </xf>
    <xf numFmtId="168" fontId="7" fillId="3" borderId="2" xfId="0" applyNumberFormat="1" applyFont="1" applyFill="1" applyBorder="1" applyAlignment="1">
      <alignment horizontal="right" vertical="center"/>
    </xf>
    <xf numFmtId="164" fontId="10" fillId="10" borderId="2" xfId="0" applyNumberFormat="1" applyFont="1" applyFill="1" applyBorder="1" applyAlignment="1">
      <alignment horizontal="right" vertical="center"/>
    </xf>
    <xf numFmtId="0" fontId="6" fillId="3" borderId="2" xfId="0" applyFont="1" applyFill="1" applyBorder="1" applyAlignment="1">
      <alignment horizontal="center" vertical="center"/>
    </xf>
    <xf numFmtId="165" fontId="10" fillId="10" borderId="2" xfId="0" applyNumberFormat="1" applyFont="1" applyFill="1" applyBorder="1" applyAlignment="1">
      <alignment horizontal="right" vertical="center"/>
    </xf>
    <xf numFmtId="168" fontId="10" fillId="10" borderId="2" xfId="0" applyNumberFormat="1" applyFont="1" applyFill="1" applyBorder="1" applyAlignment="1">
      <alignment horizontal="right" vertical="center"/>
    </xf>
    <xf numFmtId="164" fontId="11" fillId="8" borderId="3" xfId="0" applyNumberFormat="1" applyFont="1" applyFill="1" applyBorder="1" applyAlignment="1">
      <alignment horizontal="right" vertical="center"/>
    </xf>
    <xf numFmtId="0" fontId="8" fillId="3" borderId="2" xfId="0" applyFont="1" applyFill="1" applyBorder="1" applyAlignment="1">
      <alignment horizontal="left" vertical="center"/>
    </xf>
    <xf numFmtId="165" fontId="8" fillId="3" borderId="2" xfId="0" applyNumberFormat="1" applyFont="1" applyFill="1" applyBorder="1" applyAlignment="1">
      <alignment horizontal="right" vertical="center"/>
    </xf>
    <xf numFmtId="0" fontId="6" fillId="3" borderId="2" xfId="0" applyFont="1" applyFill="1" applyBorder="1" applyAlignment="1">
      <alignment horizontal="left" vertical="center" wrapText="1"/>
    </xf>
    <xf numFmtId="164" fontId="11" fillId="8" borderId="2" xfId="0" applyNumberFormat="1" applyFont="1" applyFill="1" applyBorder="1" applyAlignment="1">
      <alignment horizontal="right" vertical="center"/>
    </xf>
    <xf numFmtId="164" fontId="8" fillId="9" borderId="2" xfId="0" applyNumberFormat="1" applyFont="1" applyFill="1" applyBorder="1" applyAlignment="1">
      <alignment horizontal="right" vertical="center"/>
    </xf>
    <xf numFmtId="0" fontId="12"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168" fontId="8" fillId="3" borderId="2" xfId="0" applyNumberFormat="1" applyFont="1" applyFill="1" applyBorder="1" applyAlignment="1">
      <alignment horizontal="right" vertical="center"/>
    </xf>
    <xf numFmtId="169" fontId="8" fillId="3" borderId="2" xfId="0" applyNumberFormat="1" applyFont="1" applyFill="1" applyBorder="1" applyAlignment="1">
      <alignment horizontal="right" vertical="center"/>
    </xf>
    <xf numFmtId="0" fontId="8" fillId="12" borderId="2" xfId="0" applyFont="1" applyFill="1" applyBorder="1" applyAlignment="1">
      <alignment horizontal="left" vertical="center"/>
    </xf>
    <xf numFmtId="164" fontId="8" fillId="12" borderId="2" xfId="0" applyNumberFormat="1" applyFont="1" applyFill="1" applyBorder="1" applyAlignment="1">
      <alignment horizontal="right" vertical="center"/>
    </xf>
    <xf numFmtId="0" fontId="6" fillId="12" borderId="2" xfId="0" applyFont="1" applyFill="1" applyBorder="1" applyAlignment="1">
      <alignment horizontal="left" vertical="center" wrapText="1"/>
    </xf>
    <xf numFmtId="0" fontId="7" fillId="3" borderId="2" xfId="0" applyFont="1" applyFill="1" applyBorder="1" applyAlignment="1">
      <alignment horizontal="left" vertical="center"/>
    </xf>
    <xf numFmtId="166" fontId="11" fillId="8" borderId="3" xfId="0" applyNumberFormat="1" applyFont="1" applyFill="1" applyBorder="1" applyAlignment="1">
      <alignment horizontal="right" vertical="center"/>
    </xf>
    <xf numFmtId="170" fontId="8" fillId="3" borderId="2" xfId="0" applyNumberFormat="1" applyFont="1" applyFill="1" applyBorder="1" applyAlignment="1">
      <alignment horizontal="right" vertical="center"/>
    </xf>
    <xf numFmtId="0" fontId="3" fillId="2" borderId="2" xfId="0" applyFont="1" applyFill="1" applyBorder="1" applyAlignment="1">
      <alignment horizontal="center"/>
    </xf>
    <xf numFmtId="0" fontId="12" fillId="9" borderId="2" xfId="0" applyFont="1" applyFill="1" applyBorder="1" applyAlignment="1">
      <alignment horizontal="center" vertical="center"/>
    </xf>
    <xf numFmtId="164" fontId="8" fillId="8" borderId="2" xfId="0" applyNumberFormat="1" applyFont="1" applyFill="1" applyBorder="1" applyAlignment="1">
      <alignment horizontal="right" vertical="center"/>
    </xf>
    <xf numFmtId="0" fontId="13" fillId="13" borderId="2" xfId="0" applyFont="1" applyFill="1" applyBorder="1" applyAlignment="1">
      <alignment horizontal="center" vertical="center"/>
    </xf>
    <xf numFmtId="164" fontId="8" fillId="13" borderId="2" xfId="0" applyNumberFormat="1" applyFont="1" applyFill="1" applyBorder="1" applyAlignment="1">
      <alignment horizontal="right" vertical="center"/>
    </xf>
    <xf numFmtId="164" fontId="4" fillId="13" borderId="2" xfId="0" applyNumberFormat="1" applyFont="1" applyFill="1" applyBorder="1" applyAlignment="1">
      <alignment horizontal="right" vertical="center"/>
    </xf>
    <xf numFmtId="0" fontId="0" fillId="3" borderId="2" xfId="0" applyFill="1" applyBorder="1"/>
    <xf numFmtId="0" fontId="14" fillId="2" borderId="2" xfId="0" applyFont="1" applyFill="1" applyBorder="1" applyAlignment="1">
      <alignment horizontal="left" vertical="top" wrapText="1"/>
    </xf>
    <xf numFmtId="0" fontId="15" fillId="9" borderId="2" xfId="0" applyFont="1" applyFill="1" applyBorder="1" applyAlignment="1">
      <alignment horizontal="left" vertical="top" wrapText="1"/>
    </xf>
    <xf numFmtId="0" fontId="14" fillId="14" borderId="2" xfId="0" applyFont="1" applyFill="1" applyBorder="1" applyAlignment="1">
      <alignment horizontal="left" vertical="top" wrapText="1"/>
    </xf>
    <xf numFmtId="0" fontId="15" fillId="13" borderId="2" xfId="0" applyFont="1" applyFill="1" applyBorder="1" applyAlignment="1">
      <alignment horizontal="left" vertical="top" wrapText="1"/>
    </xf>
    <xf numFmtId="0" fontId="2" fillId="3" borderId="1" xfId="0" applyFont="1" applyFill="1" applyBorder="1" applyAlignment="1">
      <alignment vertical="center"/>
    </xf>
    <xf numFmtId="0" fontId="2" fillId="3" borderId="4" xfId="0" applyFont="1" applyFill="1" applyBorder="1" applyAlignment="1">
      <alignment vertical="center"/>
    </xf>
    <xf numFmtId="0" fontId="3" fillId="2" borderId="0" xfId="0" applyFont="1" applyFill="1" applyAlignment="1">
      <alignment horizontal="left" vertical="center"/>
    </xf>
    <xf numFmtId="0" fontId="11" fillId="8" borderId="1" xfId="0" applyFont="1" applyFill="1" applyBorder="1" applyAlignment="1">
      <alignment horizontal="left" vertical="center"/>
    </xf>
    <xf numFmtId="0" fontId="6" fillId="3" borderId="1" xfId="0" applyFont="1" applyFill="1" applyBorder="1" applyAlignment="1">
      <alignment horizontal="left" vertical="center" wrapText="1"/>
    </xf>
    <xf numFmtId="0" fontId="9" fillId="3" borderId="0" xfId="0" applyFont="1" applyFill="1" applyAlignment="1">
      <alignment horizontal="left" vertical="center"/>
    </xf>
    <xf numFmtId="0" fontId="9" fillId="3" borderId="0" xfId="0" applyFont="1" applyFill="1" applyAlignment="1">
      <alignment horizontal="right" vertical="center"/>
    </xf>
    <xf numFmtId="0" fontId="1" fillId="11" borderId="0" xfId="0" applyFont="1" applyFill="1" applyAlignment="1">
      <alignment horizontal="center" vertical="center"/>
    </xf>
    <xf numFmtId="0" fontId="2" fillId="3" borderId="1" xfId="0" applyFont="1" applyFill="1" applyBorder="1" applyAlignment="1">
      <alignment horizontal="center" vertical="center" wrapText="1"/>
    </xf>
    <xf numFmtId="0" fontId="3" fillId="11" borderId="0" xfId="0" applyFont="1" applyFill="1" applyAlignment="1">
      <alignment horizontal="left" vertical="center"/>
    </xf>
    <xf numFmtId="0" fontId="11" fillId="12" borderId="1" xfId="0" applyFont="1" applyFill="1" applyBorder="1" applyAlignment="1">
      <alignment horizontal="left" vertical="center"/>
    </xf>
    <xf numFmtId="0" fontId="3" fillId="7" borderId="0" xfId="0" applyFont="1" applyFill="1" applyAlignment="1">
      <alignment horizontal="lef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0" xfId="0" applyFont="1" applyFill="1" applyAlignment="1">
      <alignment horizontal="left" vertical="center"/>
    </xf>
    <xf numFmtId="0" fontId="3" fillId="5" borderId="0" xfId="0" applyFont="1" applyFill="1" applyAlignment="1">
      <alignment horizontal="left" vertical="center"/>
    </xf>
    <xf numFmtId="0" fontId="1"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6B1B"/>
      <rgbColor rgb="FF000080"/>
      <rgbColor rgb="FF808000"/>
      <rgbColor rgb="FF800080"/>
      <rgbColor rgb="FF00695C"/>
      <rgbColor rgb="FFC0C0C0"/>
      <rgbColor rgb="FF888888"/>
      <rgbColor rgb="FF9999FF"/>
      <rgbColor rgb="FF993366"/>
      <rgbColor rgb="FFFFFDE7"/>
      <rgbColor rgb="FFE3F2FD"/>
      <rgbColor rgb="FF4A148C"/>
      <rgbColor rgb="FFFF8080"/>
      <rgbColor rgb="FF1565C0"/>
      <rgbColor rgb="FFF3E5F5"/>
      <rgbColor rgb="FF000080"/>
      <rgbColor rgb="FFFF00FF"/>
      <rgbColor rgb="FFFFFF00"/>
      <rgbColor rgb="FF00FFFF"/>
      <rgbColor rgb="FF800080"/>
      <rgbColor rgb="FF800000"/>
      <rgbColor rgb="FF008080"/>
      <rgbColor rgb="FF0000FF"/>
      <rgbColor rgb="FF00CCFF"/>
      <rgbColor rgb="FFF5F5F5"/>
      <rgbColor rgb="FFFAFAFA"/>
      <rgbColor rgb="FFFFF3E0"/>
      <rgbColor rgb="FF99CCFF"/>
      <rgbColor rgb="FFFF99CC"/>
      <rgbColor rgb="FFCC99FF"/>
      <rgbColor rgb="FFFFCC99"/>
      <rgbColor rgb="FF3366FF"/>
      <rgbColor rgb="FF33CCCC"/>
      <rgbColor rgb="FF99CC00"/>
      <rgbColor rgb="FFFFCC00"/>
      <rgbColor rgb="FFFF9900"/>
      <rgbColor rgb="FFE65100"/>
      <rgbColor rgb="FF546E7A"/>
      <rgbColor rgb="FF90A4AE"/>
      <rgbColor rgb="FF003366"/>
      <rgbColor rgb="FF339966"/>
      <rgbColor rgb="FF0D1B2A"/>
      <rgbColor rgb="FF333300"/>
      <rgbColor rgb="FFB71C1C"/>
      <rgbColor rgb="FF993366"/>
      <rgbColor rgb="FF283593"/>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showGridLines="0" zoomScaleNormal="100" workbookViewId="0">
      <selection activeCell="B5" sqref="B5"/>
    </sheetView>
  </sheetViews>
  <sheetFormatPr defaultColWidth="8.6640625" defaultRowHeight="14.4" x14ac:dyDescent="0.3"/>
  <cols>
    <col min="1" max="1" width="32" customWidth="1"/>
    <col min="2" max="4" width="20" customWidth="1"/>
    <col min="5" max="5" width="52.33203125" bestFit="1" customWidth="1"/>
  </cols>
  <sheetData>
    <row r="1" spans="1:5" ht="36" customHeight="1" x14ac:dyDescent="0.3">
      <c r="A1" s="65" t="s">
        <v>0</v>
      </c>
      <c r="B1" s="65"/>
      <c r="C1" s="65"/>
      <c r="D1" s="65"/>
      <c r="E1" s="65"/>
    </row>
    <row r="2" spans="1:5" ht="15.75" customHeight="1" x14ac:dyDescent="0.3">
      <c r="A2" s="66" t="s">
        <v>1</v>
      </c>
      <c r="B2" s="66"/>
      <c r="C2" s="66"/>
      <c r="D2" s="66"/>
      <c r="E2" s="66"/>
    </row>
    <row r="3" spans="1:5" ht="18" customHeight="1" x14ac:dyDescent="0.3">
      <c r="A3" s="2" t="s">
        <v>2</v>
      </c>
      <c r="B3" s="3" t="s">
        <v>3</v>
      </c>
      <c r="C3" s="4" t="s">
        <v>4</v>
      </c>
      <c r="D3" s="5" t="s">
        <v>5</v>
      </c>
      <c r="E3" s="6" t="s">
        <v>6</v>
      </c>
    </row>
    <row r="4" spans="1:5" ht="18" customHeight="1" x14ac:dyDescent="0.3">
      <c r="A4" s="67" t="s">
        <v>7</v>
      </c>
      <c r="B4" s="67"/>
      <c r="C4" s="67"/>
      <c r="D4" s="67"/>
      <c r="E4" s="67"/>
    </row>
    <row r="5" spans="1:5" ht="15" customHeight="1" x14ac:dyDescent="0.3">
      <c r="A5" s="7" t="s">
        <v>8</v>
      </c>
      <c r="B5" s="8">
        <f>'Income Statement'!B4</f>
        <v>8286207</v>
      </c>
      <c r="C5" s="8">
        <f>'Income Statement'!C4</f>
        <v>19200000</v>
      </c>
      <c r="D5" s="8">
        <f>'Income Statement'!D4</f>
        <v>38400000</v>
      </c>
      <c r="E5" s="9" t="s">
        <v>9</v>
      </c>
    </row>
    <row r="6" spans="1:5" ht="15" customHeight="1" x14ac:dyDescent="0.3">
      <c r="A6" s="10" t="s">
        <v>10</v>
      </c>
      <c r="B6" s="11" t="s">
        <v>11</v>
      </c>
      <c r="C6" s="11">
        <f>'Income Statement'!C5</f>
        <v>1.3171035915467717</v>
      </c>
      <c r="D6" s="11">
        <f>'Income Statement'!D5</f>
        <v>1</v>
      </c>
      <c r="E6" s="12" t="s">
        <v>12</v>
      </c>
    </row>
    <row r="7" spans="1:5" ht="15" customHeight="1" x14ac:dyDescent="0.3">
      <c r="A7" s="10" t="s">
        <v>13</v>
      </c>
      <c r="B7" s="13">
        <f>'Income Statement'!B7</f>
        <v>132579.31200000001</v>
      </c>
      <c r="C7" s="13">
        <f>'Income Statement'!C7</f>
        <v>4224000</v>
      </c>
      <c r="D7" s="13">
        <f>'Income Statement'!D7</f>
        <v>13440000</v>
      </c>
      <c r="E7" s="12" t="s">
        <v>14</v>
      </c>
    </row>
    <row r="8" spans="1:5" ht="15" customHeight="1" x14ac:dyDescent="0.3">
      <c r="A8" s="7" t="s">
        <v>15</v>
      </c>
      <c r="B8" s="8">
        <f>'Income Statement'!B16</f>
        <v>-17399420.688000001</v>
      </c>
      <c r="C8" s="8">
        <f>'Income Statement'!C16</f>
        <v>-19776000</v>
      </c>
      <c r="D8" s="8">
        <f>'Income Statement'!D16</f>
        <v>-17760000</v>
      </c>
      <c r="E8" s="9" t="s">
        <v>16</v>
      </c>
    </row>
    <row r="9" spans="1:5" ht="15" customHeight="1" x14ac:dyDescent="0.3">
      <c r="A9" s="7" t="s">
        <v>17</v>
      </c>
      <c r="B9" s="14">
        <f>'Income Statement'!B23</f>
        <v>-17675420.688000001</v>
      </c>
      <c r="C9" s="14">
        <f>'Income Statement'!C23</f>
        <v>-20076000</v>
      </c>
      <c r="D9" s="14">
        <f>'Income Statement'!D23</f>
        <v>-13545000</v>
      </c>
      <c r="E9" s="9" t="s">
        <v>18</v>
      </c>
    </row>
    <row r="10" spans="1:5" ht="18" customHeight="1" x14ac:dyDescent="0.3">
      <c r="A10" s="68" t="s">
        <v>19</v>
      </c>
      <c r="B10" s="68"/>
      <c r="C10" s="68"/>
      <c r="D10" s="68"/>
      <c r="E10" s="68"/>
    </row>
    <row r="11" spans="1:5" ht="15" customHeight="1" x14ac:dyDescent="0.3">
      <c r="A11" s="10" t="s">
        <v>20</v>
      </c>
      <c r="B11" s="13">
        <f>'Cash Flow'!B7</f>
        <v>-17849420.688000001</v>
      </c>
      <c r="C11" s="13">
        <f>'Cash Flow'!C7</f>
        <v>-20396000</v>
      </c>
      <c r="D11" s="13">
        <f>'Cash Flow'!D7</f>
        <v>-14005000</v>
      </c>
      <c r="E11" s="12" t="s">
        <v>21</v>
      </c>
    </row>
    <row r="12" spans="1:5" ht="15" customHeight="1" x14ac:dyDescent="0.3">
      <c r="A12" s="7" t="s">
        <v>22</v>
      </c>
      <c r="B12" s="8">
        <f>'Cash Flow'!B12</f>
        <v>-18089420.688000001</v>
      </c>
      <c r="C12" s="8">
        <f>'Cash Flow'!C12</f>
        <v>-20996000</v>
      </c>
      <c r="D12" s="8">
        <f>'Cash Flow'!D12</f>
        <v>-15205000</v>
      </c>
      <c r="E12" s="9" t="s">
        <v>23</v>
      </c>
    </row>
    <row r="13" spans="1:5" ht="15" customHeight="1" x14ac:dyDescent="0.3">
      <c r="A13" s="10" t="s">
        <v>24</v>
      </c>
      <c r="B13" s="13">
        <f>'Cash Flow'!B13</f>
        <v>-18089420.688000001</v>
      </c>
      <c r="C13" s="13">
        <f>'Cash Flow'!C13</f>
        <v>-39085420.688000001</v>
      </c>
      <c r="D13" s="13">
        <f>'Cash Flow'!D13</f>
        <v>-54290420.688000001</v>
      </c>
      <c r="E13" s="12" t="s">
        <v>25</v>
      </c>
    </row>
    <row r="14" spans="1:5" ht="18" customHeight="1" x14ac:dyDescent="0.3">
      <c r="A14" s="55" t="s">
        <v>26</v>
      </c>
      <c r="B14" s="55"/>
      <c r="C14" s="55"/>
      <c r="D14" s="55"/>
      <c r="E14" s="55"/>
    </row>
    <row r="15" spans="1:5" ht="36.75" customHeight="1" x14ac:dyDescent="0.3">
      <c r="A15" s="7" t="s">
        <v>27</v>
      </c>
      <c r="B15" s="8">
        <f>'DCF Valuation'!B18</f>
        <v>-74248024.169447631</v>
      </c>
      <c r="C15" s="15" t="s">
        <v>11</v>
      </c>
      <c r="D15" s="15" t="s">
        <v>11</v>
      </c>
      <c r="E15" s="9" t="s">
        <v>28</v>
      </c>
    </row>
    <row r="16" spans="1:5" ht="18.75" customHeight="1" x14ac:dyDescent="0.3">
      <c r="A16" s="7" t="s">
        <v>29</v>
      </c>
      <c r="B16" s="8">
        <f>'DCF Valuation'!B20</f>
        <v>-75748024.169447631</v>
      </c>
      <c r="C16" s="15" t="s">
        <v>11</v>
      </c>
      <c r="D16" s="15" t="s">
        <v>11</v>
      </c>
      <c r="E16" s="9" t="s">
        <v>30</v>
      </c>
    </row>
    <row r="17" spans="1:5" ht="45.75" customHeight="1" x14ac:dyDescent="0.3">
      <c r="A17" s="7" t="s">
        <v>31</v>
      </c>
      <c r="B17" s="16">
        <f>'DCF Valuation'!B22</f>
        <v>-75.748024169447632</v>
      </c>
      <c r="C17" s="15" t="s">
        <v>11</v>
      </c>
      <c r="D17" s="15" t="s">
        <v>11</v>
      </c>
      <c r="E17" s="9" t="s">
        <v>32</v>
      </c>
    </row>
    <row r="19" spans="1:5" ht="18" customHeight="1" x14ac:dyDescent="0.3">
      <c r="A19" s="64" t="s">
        <v>33</v>
      </c>
      <c r="B19" s="64"/>
      <c r="C19" s="64"/>
      <c r="D19" s="64"/>
      <c r="E19" s="64"/>
    </row>
    <row r="20" spans="1:5" ht="18" customHeight="1" x14ac:dyDescent="0.3">
      <c r="A20" s="17" t="s">
        <v>34</v>
      </c>
      <c r="B20" s="17" t="s">
        <v>3</v>
      </c>
      <c r="C20" s="17" t="s">
        <v>4</v>
      </c>
      <c r="D20" s="17" t="s">
        <v>5</v>
      </c>
      <c r="E20" s="17" t="s">
        <v>35</v>
      </c>
    </row>
    <row r="21" spans="1:5" ht="15" customHeight="1" x14ac:dyDescent="0.3">
      <c r="A21" s="18" t="s">
        <v>36</v>
      </c>
      <c r="B21" s="19">
        <f>Assumptions!B7</f>
        <v>1.6E-2</v>
      </c>
      <c r="C21" s="19">
        <f>Assumptions!C7</f>
        <v>0.22</v>
      </c>
      <c r="D21" s="19">
        <f>Assumptions!D7</f>
        <v>0.35</v>
      </c>
      <c r="E21" s="12" t="s">
        <v>37</v>
      </c>
    </row>
    <row r="22" spans="1:5" ht="15" customHeight="1" x14ac:dyDescent="0.3">
      <c r="A22" s="18" t="s">
        <v>38</v>
      </c>
      <c r="B22" s="19">
        <f>Assumptions!B18</f>
        <v>0.25</v>
      </c>
      <c r="C22" s="19">
        <f>Assumptions!C18</f>
        <v>0.25</v>
      </c>
      <c r="D22" s="19">
        <f>Assumptions!D18</f>
        <v>0.25</v>
      </c>
      <c r="E22" s="12" t="s">
        <v>39</v>
      </c>
    </row>
    <row r="23" spans="1:5" ht="15" customHeight="1" x14ac:dyDescent="0.3">
      <c r="A23" s="18" t="s">
        <v>40</v>
      </c>
      <c r="B23" s="19">
        <f>Assumptions!B19</f>
        <v>0.04</v>
      </c>
      <c r="C23" s="19">
        <f>Assumptions!C19</f>
        <v>0.04</v>
      </c>
      <c r="D23" s="19">
        <f>Assumptions!D19</f>
        <v>0.04</v>
      </c>
      <c r="E23" s="12" t="s">
        <v>41</v>
      </c>
    </row>
    <row r="24" spans="1:5" ht="15" customHeight="1" x14ac:dyDescent="0.3">
      <c r="A24" s="18" t="s">
        <v>42</v>
      </c>
      <c r="B24" s="20">
        <f>Assumptions!B20</f>
        <v>10</v>
      </c>
      <c r="C24" s="20">
        <f>Assumptions!C20</f>
        <v>10</v>
      </c>
      <c r="D24" s="20">
        <f>Assumptions!D20</f>
        <v>10</v>
      </c>
      <c r="E24" s="12" t="s">
        <v>43</v>
      </c>
    </row>
    <row r="25" spans="1:5" ht="15" customHeight="1" x14ac:dyDescent="0.3">
      <c r="A25" s="18" t="s">
        <v>44</v>
      </c>
      <c r="B25" s="21">
        <f>Assumptions!B22</f>
        <v>1000000</v>
      </c>
      <c r="C25" s="21">
        <f>Assumptions!C22</f>
        <v>1000000</v>
      </c>
      <c r="D25" s="21">
        <f>Assumptions!D22</f>
        <v>1000000</v>
      </c>
      <c r="E25" s="12" t="s">
        <v>45</v>
      </c>
    </row>
    <row r="27" spans="1:5" x14ac:dyDescent="0.3">
      <c r="A27" s="58" t="s">
        <v>46</v>
      </c>
      <c r="B27" s="58"/>
      <c r="C27" s="59" t="s">
        <v>47</v>
      </c>
      <c r="D27" s="59"/>
      <c r="E27" s="59"/>
    </row>
  </sheetData>
  <mergeCells count="8">
    <mergeCell ref="A19:E19"/>
    <mergeCell ref="A27:B27"/>
    <mergeCell ref="C27:E27"/>
    <mergeCell ref="A1:E1"/>
    <mergeCell ref="A2:E2"/>
    <mergeCell ref="A4:E4"/>
    <mergeCell ref="A10:E10"/>
    <mergeCell ref="A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91" zoomScaleNormal="100" workbookViewId="0">
      <selection activeCell="F35" sqref="F35"/>
    </sheetView>
  </sheetViews>
  <sheetFormatPr defaultColWidth="8.6640625" defaultRowHeight="14.4" x14ac:dyDescent="0.3"/>
  <cols>
    <col min="1" max="1" width="36" customWidth="1"/>
    <col min="2" max="4" width="14" customWidth="1"/>
    <col min="5" max="5" width="8" customWidth="1"/>
    <col min="6" max="6" width="72.5546875" bestFit="1" customWidth="1"/>
  </cols>
  <sheetData>
    <row r="1" spans="1:6" ht="30" customHeight="1" x14ac:dyDescent="0.3">
      <c r="A1" s="69" t="s">
        <v>214</v>
      </c>
      <c r="B1" s="69"/>
      <c r="C1" s="69"/>
      <c r="D1" s="69"/>
      <c r="E1" s="69"/>
      <c r="F1" s="69"/>
    </row>
    <row r="2" spans="1:6" ht="15.75" customHeight="1" x14ac:dyDescent="0.3">
      <c r="A2" s="66"/>
      <c r="B2" s="66"/>
      <c r="C2" s="66"/>
      <c r="D2" s="66"/>
      <c r="E2" s="66"/>
      <c r="F2" s="66"/>
    </row>
    <row r="3" spans="1:6" ht="18" customHeight="1" x14ac:dyDescent="0.3">
      <c r="A3" s="64" t="s">
        <v>48</v>
      </c>
      <c r="B3" s="64"/>
      <c r="C3" s="64"/>
      <c r="D3" s="64"/>
      <c r="E3" s="64"/>
      <c r="F3" s="64"/>
    </row>
    <row r="4" spans="1:6" ht="15" customHeight="1" x14ac:dyDescent="0.3">
      <c r="A4" s="18" t="s">
        <v>49</v>
      </c>
      <c r="B4" s="22">
        <v>8286207</v>
      </c>
      <c r="C4" s="22">
        <v>19200000</v>
      </c>
      <c r="D4" s="22">
        <v>38400000</v>
      </c>
      <c r="E4" s="23" t="s">
        <v>50</v>
      </c>
      <c r="F4" s="12" t="s">
        <v>51</v>
      </c>
    </row>
    <row r="5" spans="1:6" ht="15" customHeight="1" x14ac:dyDescent="0.3">
      <c r="A5" s="18" t="s">
        <v>52</v>
      </c>
      <c r="B5" s="24">
        <v>0</v>
      </c>
      <c r="C5" s="24">
        <v>1.32</v>
      </c>
      <c r="D5" s="24">
        <v>1</v>
      </c>
      <c r="E5" s="23" t="s">
        <v>53</v>
      </c>
      <c r="F5" s="12" t="s">
        <v>54</v>
      </c>
    </row>
    <row r="6" spans="1:6" ht="18" customHeight="1" x14ac:dyDescent="0.3">
      <c r="A6" s="64" t="s">
        <v>55</v>
      </c>
      <c r="B6" s="64"/>
      <c r="C6" s="64"/>
      <c r="D6" s="64"/>
      <c r="E6" s="64"/>
      <c r="F6" s="64"/>
    </row>
    <row r="7" spans="1:6" ht="15" customHeight="1" x14ac:dyDescent="0.3">
      <c r="A7" s="18" t="s">
        <v>36</v>
      </c>
      <c r="B7" s="24">
        <v>1.6E-2</v>
      </c>
      <c r="C7" s="24">
        <v>0.22</v>
      </c>
      <c r="D7" s="24">
        <v>0.35</v>
      </c>
      <c r="E7" s="23" t="s">
        <v>53</v>
      </c>
      <c r="F7" s="12" t="s">
        <v>56</v>
      </c>
    </row>
    <row r="8" spans="1:6" ht="15" customHeight="1" x14ac:dyDescent="0.3">
      <c r="A8" s="18" t="s">
        <v>57</v>
      </c>
      <c r="B8" s="22">
        <v>17532000</v>
      </c>
      <c r="C8" s="22">
        <v>24000000</v>
      </c>
      <c r="D8" s="22">
        <v>31200000</v>
      </c>
      <c r="E8" s="23" t="s">
        <v>50</v>
      </c>
      <c r="F8" s="12" t="s">
        <v>58</v>
      </c>
    </row>
    <row r="9" spans="1:6" ht="15" customHeight="1" x14ac:dyDescent="0.3">
      <c r="A9" s="18" t="s">
        <v>59</v>
      </c>
      <c r="B9" s="22">
        <v>126000</v>
      </c>
      <c r="C9" s="22">
        <v>180000</v>
      </c>
      <c r="D9" s="22">
        <v>240000</v>
      </c>
      <c r="E9" s="23" t="s">
        <v>50</v>
      </c>
      <c r="F9" s="12" t="s">
        <v>60</v>
      </c>
    </row>
    <row r="10" spans="1:6" ht="15" customHeight="1" x14ac:dyDescent="0.3">
      <c r="A10" s="18" t="s">
        <v>61</v>
      </c>
      <c r="B10" s="22">
        <v>150000</v>
      </c>
      <c r="C10" s="22">
        <v>120000</v>
      </c>
      <c r="D10" s="22">
        <v>60000</v>
      </c>
      <c r="E10" s="23" t="s">
        <v>50</v>
      </c>
      <c r="F10" s="12" t="s">
        <v>62</v>
      </c>
    </row>
    <row r="11" spans="1:6" ht="18" customHeight="1" x14ac:dyDescent="0.3">
      <c r="A11" s="64" t="s">
        <v>63</v>
      </c>
      <c r="B11" s="64"/>
      <c r="C11" s="64"/>
      <c r="D11" s="64"/>
      <c r="E11" s="64"/>
      <c r="F11" s="64"/>
    </row>
    <row r="12" spans="1:6" ht="15" customHeight="1" x14ac:dyDescent="0.3">
      <c r="A12" s="18" t="s">
        <v>64</v>
      </c>
      <c r="B12" s="24">
        <v>0</v>
      </c>
      <c r="C12" s="24">
        <v>0</v>
      </c>
      <c r="D12" s="24">
        <v>0.25</v>
      </c>
      <c r="E12" s="23" t="s">
        <v>53</v>
      </c>
      <c r="F12" s="12" t="s">
        <v>65</v>
      </c>
    </row>
    <row r="13" spans="1:6" ht="18" customHeight="1" x14ac:dyDescent="0.3">
      <c r="A13" s="64" t="s">
        <v>66</v>
      </c>
      <c r="B13" s="64"/>
      <c r="C13" s="64"/>
      <c r="D13" s="64"/>
      <c r="E13" s="64"/>
      <c r="F13" s="64"/>
    </row>
    <row r="14" spans="1:6" ht="15" customHeight="1" x14ac:dyDescent="0.3">
      <c r="A14" s="18" t="s">
        <v>67</v>
      </c>
      <c r="B14" s="22">
        <v>-300000</v>
      </c>
      <c r="C14" s="22">
        <v>-500000</v>
      </c>
      <c r="D14" s="22">
        <v>-700000</v>
      </c>
      <c r="E14" s="23" t="s">
        <v>50</v>
      </c>
      <c r="F14" s="12" t="s">
        <v>68</v>
      </c>
    </row>
    <row r="15" spans="1:6" ht="18" customHeight="1" x14ac:dyDescent="0.3">
      <c r="A15" s="64" t="s">
        <v>69</v>
      </c>
      <c r="B15" s="64"/>
      <c r="C15" s="64"/>
      <c r="D15" s="64"/>
      <c r="E15" s="64"/>
      <c r="F15" s="64"/>
    </row>
    <row r="16" spans="1:6" ht="15" customHeight="1" x14ac:dyDescent="0.3">
      <c r="A16" s="18" t="s">
        <v>70</v>
      </c>
      <c r="B16" s="22">
        <v>240000</v>
      </c>
      <c r="C16" s="22">
        <v>600000</v>
      </c>
      <c r="D16" s="22">
        <v>1200000</v>
      </c>
      <c r="E16" s="23" t="s">
        <v>50</v>
      </c>
      <c r="F16" s="12" t="s">
        <v>71</v>
      </c>
    </row>
    <row r="17" spans="1:6" ht="18" customHeight="1" x14ac:dyDescent="0.3">
      <c r="A17" s="64" t="s">
        <v>72</v>
      </c>
      <c r="B17" s="64"/>
      <c r="C17" s="64"/>
      <c r="D17" s="64"/>
      <c r="E17" s="64"/>
      <c r="F17" s="64"/>
    </row>
    <row r="18" spans="1:6" ht="15" customHeight="1" x14ac:dyDescent="0.3">
      <c r="A18" s="18" t="s">
        <v>38</v>
      </c>
      <c r="B18" s="24">
        <v>0.25</v>
      </c>
      <c r="C18" s="24">
        <v>0.25</v>
      </c>
      <c r="D18" s="24">
        <v>0.25</v>
      </c>
      <c r="E18" s="23" t="s">
        <v>53</v>
      </c>
      <c r="F18" s="12" t="s">
        <v>73</v>
      </c>
    </row>
    <row r="19" spans="1:6" ht="15" customHeight="1" x14ac:dyDescent="0.3">
      <c r="A19" s="18" t="s">
        <v>40</v>
      </c>
      <c r="B19" s="24">
        <v>0.04</v>
      </c>
      <c r="C19" s="24">
        <v>0.04</v>
      </c>
      <c r="D19" s="24">
        <v>0.04</v>
      </c>
      <c r="E19" s="23" t="s">
        <v>53</v>
      </c>
      <c r="F19" s="12" t="s">
        <v>74</v>
      </c>
    </row>
    <row r="20" spans="1:6" ht="15" customHeight="1" x14ac:dyDescent="0.3">
      <c r="A20" s="18" t="s">
        <v>75</v>
      </c>
      <c r="B20" s="25">
        <v>10</v>
      </c>
      <c r="C20" s="25">
        <v>10</v>
      </c>
      <c r="D20" s="25">
        <v>10</v>
      </c>
      <c r="E20" s="23"/>
      <c r="F20" s="12" t="s">
        <v>76</v>
      </c>
    </row>
    <row r="21" spans="1:6" ht="18" customHeight="1" x14ac:dyDescent="0.3">
      <c r="A21" s="64" t="s">
        <v>77</v>
      </c>
      <c r="B21" s="64"/>
      <c r="C21" s="64"/>
      <c r="D21" s="64"/>
      <c r="E21" s="64"/>
      <c r="F21" s="64"/>
    </row>
    <row r="22" spans="1:6" ht="15" customHeight="1" x14ac:dyDescent="0.3">
      <c r="A22" s="18" t="s">
        <v>78</v>
      </c>
      <c r="B22" s="25">
        <v>1000000</v>
      </c>
      <c r="C22" s="25">
        <v>1000000</v>
      </c>
      <c r="D22" s="25">
        <v>1000000</v>
      </c>
      <c r="E22" s="23" t="s">
        <v>79</v>
      </c>
      <c r="F22" s="12" t="s">
        <v>80</v>
      </c>
    </row>
    <row r="24" spans="1:6" x14ac:dyDescent="0.3">
      <c r="A24" s="58" t="s">
        <v>46</v>
      </c>
      <c r="B24" s="58"/>
      <c r="C24" s="58"/>
      <c r="D24" s="59" t="s">
        <v>47</v>
      </c>
      <c r="E24" s="59"/>
      <c r="F24" s="59"/>
    </row>
  </sheetData>
  <mergeCells count="11">
    <mergeCell ref="A1:F1"/>
    <mergeCell ref="A2:F2"/>
    <mergeCell ref="A3:F3"/>
    <mergeCell ref="A6:F6"/>
    <mergeCell ref="A11:F11"/>
    <mergeCell ref="A13:F13"/>
    <mergeCell ref="A15:F15"/>
    <mergeCell ref="A17:F17"/>
    <mergeCell ref="A21:F21"/>
    <mergeCell ref="A24:C24"/>
    <mergeCell ref="D24:F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zoomScaleNormal="100" workbookViewId="0">
      <selection activeCell="D35" sqref="D35"/>
    </sheetView>
  </sheetViews>
  <sheetFormatPr defaultColWidth="8.6640625" defaultRowHeight="14.4" x14ac:dyDescent="0.3"/>
  <cols>
    <col min="1" max="1" width="36" customWidth="1"/>
    <col min="2" max="4" width="14" customWidth="1"/>
    <col min="5" max="5" width="80.44140625" bestFit="1" customWidth="1"/>
  </cols>
  <sheetData>
    <row r="1" spans="1:5" ht="30" customHeight="1" x14ac:dyDescent="0.3">
      <c r="A1" s="69" t="s">
        <v>215</v>
      </c>
      <c r="B1" s="69"/>
      <c r="C1" s="69"/>
      <c r="D1" s="69"/>
      <c r="E1" s="69"/>
    </row>
    <row r="2" spans="1:5" ht="15.75" customHeight="1" x14ac:dyDescent="0.3">
      <c r="A2" s="53"/>
      <c r="B2" s="54"/>
      <c r="C2" s="54"/>
      <c r="D2" s="54"/>
      <c r="E2" s="54"/>
    </row>
    <row r="3" spans="1:5" ht="18" customHeight="1" x14ac:dyDescent="0.3">
      <c r="A3" s="67" t="s">
        <v>81</v>
      </c>
      <c r="B3" s="67"/>
      <c r="C3" s="67"/>
      <c r="D3" s="67"/>
      <c r="E3" s="67"/>
    </row>
    <row r="4" spans="1:5" ht="15" customHeight="1" x14ac:dyDescent="0.3">
      <c r="A4" s="7" t="s">
        <v>8</v>
      </c>
      <c r="B4" s="26">
        <f>Assumptions!B4</f>
        <v>8286207</v>
      </c>
      <c r="C4" s="26">
        <f>Assumptions!C4</f>
        <v>19200000</v>
      </c>
      <c r="D4" s="26">
        <f>Assumptions!D4</f>
        <v>38400000</v>
      </c>
      <c r="E4" s="9" t="s">
        <v>82</v>
      </c>
    </row>
    <row r="5" spans="1:5" ht="15" customHeight="1" x14ac:dyDescent="0.3">
      <c r="A5" s="27" t="s">
        <v>10</v>
      </c>
      <c r="B5" s="28" t="s">
        <v>216</v>
      </c>
      <c r="C5" s="28">
        <f>IFERROR((C4-B4)/B4,0)</f>
        <v>1.3171035915467717</v>
      </c>
      <c r="D5" s="28">
        <f>IFERROR((D4-C4)/C4,0)</f>
        <v>1</v>
      </c>
      <c r="E5" s="29" t="s">
        <v>83</v>
      </c>
    </row>
    <row r="6" spans="1:5" ht="18" customHeight="1" x14ac:dyDescent="0.3">
      <c r="A6" s="68" t="s">
        <v>84</v>
      </c>
      <c r="B6" s="68"/>
      <c r="C6" s="68"/>
      <c r="D6" s="68"/>
      <c r="E6" s="68"/>
    </row>
    <row r="7" spans="1:5" ht="15" customHeight="1" x14ac:dyDescent="0.3">
      <c r="A7" s="7" t="s">
        <v>13</v>
      </c>
      <c r="B7" s="26">
        <f>B4*Assumptions!B7</f>
        <v>132579.31200000001</v>
      </c>
      <c r="C7" s="26">
        <f>C4*Assumptions!C7</f>
        <v>4224000</v>
      </c>
      <c r="D7" s="26">
        <f>D4*Assumptions!D7</f>
        <v>13440000</v>
      </c>
      <c r="E7" s="9" t="s">
        <v>85</v>
      </c>
    </row>
    <row r="8" spans="1:5" ht="15" customHeight="1" x14ac:dyDescent="0.3">
      <c r="A8" s="27" t="s">
        <v>36</v>
      </c>
      <c r="B8" s="28">
        <f>Assumptions!B7</f>
        <v>1.6E-2</v>
      </c>
      <c r="C8" s="28">
        <f>Assumptions!C7</f>
        <v>0.22</v>
      </c>
      <c r="D8" s="28">
        <f>Assumptions!D7</f>
        <v>0.35</v>
      </c>
      <c r="E8" s="29" t="s">
        <v>86</v>
      </c>
    </row>
    <row r="9" spans="1:5" ht="18" customHeight="1" x14ac:dyDescent="0.3">
      <c r="A9" s="67" t="s">
        <v>87</v>
      </c>
      <c r="B9" s="67"/>
      <c r="C9" s="67"/>
      <c r="D9" s="67"/>
      <c r="E9" s="67"/>
    </row>
    <row r="10" spans="1:5" ht="15" customHeight="1" x14ac:dyDescent="0.3">
      <c r="A10" s="7" t="s">
        <v>88</v>
      </c>
      <c r="B10" s="30">
        <f>Assumptions!B8</f>
        <v>17532000</v>
      </c>
      <c r="C10" s="30">
        <f>Assumptions!C8</f>
        <v>24000000</v>
      </c>
      <c r="D10" s="30">
        <f>Assumptions!D8</f>
        <v>31200000</v>
      </c>
      <c r="E10" s="9" t="s">
        <v>89</v>
      </c>
    </row>
    <row r="11" spans="1:5" ht="15" customHeight="1" x14ac:dyDescent="0.3">
      <c r="A11" s="18" t="s">
        <v>90</v>
      </c>
      <c r="B11" s="31">
        <f>B10*0.5</f>
        <v>8766000</v>
      </c>
      <c r="C11" s="31">
        <f>C10*0.5</f>
        <v>12000000</v>
      </c>
      <c r="D11" s="31">
        <f>D10*0.5</f>
        <v>15600000</v>
      </c>
      <c r="E11" s="12" t="s">
        <v>91</v>
      </c>
    </row>
    <row r="12" spans="1:5" ht="15" customHeight="1" x14ac:dyDescent="0.3">
      <c r="A12" s="18" t="s">
        <v>92</v>
      </c>
      <c r="B12" s="31">
        <f>B10*0.23</f>
        <v>4032360</v>
      </c>
      <c r="C12" s="31">
        <f>C10*0.23</f>
        <v>5520000</v>
      </c>
      <c r="D12" s="31">
        <f>D10*0.23</f>
        <v>7176000</v>
      </c>
      <c r="E12" s="12" t="s">
        <v>93</v>
      </c>
    </row>
    <row r="13" spans="1:5" ht="15" customHeight="1" x14ac:dyDescent="0.3">
      <c r="A13" s="18" t="s">
        <v>94</v>
      </c>
      <c r="B13" s="31">
        <f>B10*0.08</f>
        <v>1402560</v>
      </c>
      <c r="C13" s="31">
        <f>C10*0.08</f>
        <v>1920000</v>
      </c>
      <c r="D13" s="31">
        <f>D10*0.08</f>
        <v>2496000</v>
      </c>
      <c r="E13" s="12" t="s">
        <v>95</v>
      </c>
    </row>
    <row r="14" spans="1:5" ht="15" customHeight="1" x14ac:dyDescent="0.3">
      <c r="A14" s="18" t="s">
        <v>96</v>
      </c>
      <c r="B14" s="31">
        <f>B10*0.19</f>
        <v>3331080</v>
      </c>
      <c r="C14" s="31">
        <f>C10*0.19</f>
        <v>4560000</v>
      </c>
      <c r="D14" s="31">
        <f>D10*0.19</f>
        <v>5928000</v>
      </c>
      <c r="E14" s="12" t="s">
        <v>97</v>
      </c>
    </row>
    <row r="15" spans="1:5" ht="18" customHeight="1" x14ac:dyDescent="0.3">
      <c r="A15" s="55" t="s">
        <v>15</v>
      </c>
      <c r="B15" s="55"/>
      <c r="C15" s="55"/>
      <c r="D15" s="55"/>
      <c r="E15" s="55"/>
    </row>
    <row r="16" spans="1:5" ht="15" customHeight="1" x14ac:dyDescent="0.3">
      <c r="A16" s="7" t="s">
        <v>15</v>
      </c>
      <c r="B16" s="26">
        <f>B7-B10</f>
        <v>-17399420.688000001</v>
      </c>
      <c r="C16" s="26">
        <f>C7-C10</f>
        <v>-19776000</v>
      </c>
      <c r="D16" s="26">
        <f>D7-D10</f>
        <v>-17760000</v>
      </c>
      <c r="E16" s="9" t="s">
        <v>98</v>
      </c>
    </row>
    <row r="17" spans="1:5" ht="15" customHeight="1" x14ac:dyDescent="0.3">
      <c r="A17" s="27" t="s">
        <v>99</v>
      </c>
      <c r="B17" s="28">
        <f>IFERROR(B16/B4,0)</f>
        <v>-2.0998052170311459</v>
      </c>
      <c r="C17" s="28">
        <f>IFERROR(C16/C4,0)</f>
        <v>-1.03</v>
      </c>
      <c r="D17" s="28">
        <f>IFERROR(D16/D4,0)</f>
        <v>-0.46250000000000002</v>
      </c>
      <c r="E17" s="29" t="s">
        <v>100</v>
      </c>
    </row>
    <row r="18" spans="1:5" ht="18" customHeight="1" x14ac:dyDescent="0.3">
      <c r="A18" s="64" t="s">
        <v>101</v>
      </c>
      <c r="B18" s="64"/>
      <c r="C18" s="64"/>
      <c r="D18" s="64"/>
      <c r="E18" s="64"/>
    </row>
    <row r="19" spans="1:5" ht="15" customHeight="1" x14ac:dyDescent="0.3">
      <c r="A19" s="18" t="s">
        <v>102</v>
      </c>
      <c r="B19" s="31">
        <f>Assumptions!B9</f>
        <v>126000</v>
      </c>
      <c r="C19" s="31">
        <f>Assumptions!C9</f>
        <v>180000</v>
      </c>
      <c r="D19" s="31">
        <f>Assumptions!D9</f>
        <v>240000</v>
      </c>
      <c r="E19" s="12" t="s">
        <v>103</v>
      </c>
    </row>
    <row r="20" spans="1:5" ht="15" customHeight="1" x14ac:dyDescent="0.3">
      <c r="A20" s="18" t="s">
        <v>104</v>
      </c>
      <c r="B20" s="31">
        <f>Assumptions!B10</f>
        <v>150000</v>
      </c>
      <c r="C20" s="31">
        <f>Assumptions!C10</f>
        <v>120000</v>
      </c>
      <c r="D20" s="31">
        <f>Assumptions!D10</f>
        <v>60000</v>
      </c>
      <c r="E20" s="12" t="s">
        <v>105</v>
      </c>
    </row>
    <row r="21" spans="1:5" ht="15" customHeight="1" x14ac:dyDescent="0.3">
      <c r="A21" s="7" t="s">
        <v>106</v>
      </c>
      <c r="B21" s="30">
        <f>B16-B19-B20</f>
        <v>-17675420.688000001</v>
      </c>
      <c r="C21" s="30">
        <f>C16-C19-C20</f>
        <v>-20076000</v>
      </c>
      <c r="D21" s="30">
        <f>D16-D19-D20</f>
        <v>-18060000</v>
      </c>
      <c r="E21" s="9" t="s">
        <v>107</v>
      </c>
    </row>
    <row r="22" spans="1:5" ht="15" customHeight="1" x14ac:dyDescent="0.3">
      <c r="A22" s="18" t="s">
        <v>108</v>
      </c>
      <c r="B22" s="31">
        <f>B21*Assumptions!B12</f>
        <v>0</v>
      </c>
      <c r="C22" s="31">
        <f>C21*Assumptions!C12</f>
        <v>0</v>
      </c>
      <c r="D22" s="31">
        <f>D21*Assumptions!D12</f>
        <v>-4515000</v>
      </c>
      <c r="E22" s="12" t="s">
        <v>109</v>
      </c>
    </row>
    <row r="23" spans="1:5" ht="15" customHeight="1" x14ac:dyDescent="0.3">
      <c r="A23" s="7" t="s">
        <v>17</v>
      </c>
      <c r="B23" s="26">
        <f>B21-B22</f>
        <v>-17675420.688000001</v>
      </c>
      <c r="C23" s="26">
        <f>C21-C22</f>
        <v>-20076000</v>
      </c>
      <c r="D23" s="26">
        <f>D21-D22</f>
        <v>-13545000</v>
      </c>
      <c r="E23" s="9" t="s">
        <v>110</v>
      </c>
    </row>
    <row r="24" spans="1:5" ht="15" customHeight="1" x14ac:dyDescent="0.3">
      <c r="A24" s="27" t="s">
        <v>111</v>
      </c>
      <c r="B24" s="28">
        <f>IFERROR(B23/B4,0)</f>
        <v>-2.1331135811596309</v>
      </c>
      <c r="C24" s="28">
        <f>IFERROR(C23/C4,0)</f>
        <v>-1.045625</v>
      </c>
      <c r="D24" s="28">
        <f>IFERROR(D23/D4,0)</f>
        <v>-0.35273437499999999</v>
      </c>
      <c r="E24" s="29" t="s">
        <v>112</v>
      </c>
    </row>
    <row r="26" spans="1:5" x14ac:dyDescent="0.3">
      <c r="A26" s="58" t="s">
        <v>46</v>
      </c>
      <c r="B26" s="58"/>
      <c r="C26" s="59" t="s">
        <v>47</v>
      </c>
      <c r="D26" s="59"/>
      <c r="E26" s="59"/>
    </row>
  </sheetData>
  <mergeCells count="8">
    <mergeCell ref="A15:E15"/>
    <mergeCell ref="A18:E18"/>
    <mergeCell ref="A26:B26"/>
    <mergeCell ref="C26:E26"/>
    <mergeCell ref="A1:E1"/>
    <mergeCell ref="A3:E3"/>
    <mergeCell ref="A6:E6"/>
    <mergeCell ref="A9:E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tabSelected="1" zoomScaleNormal="100" workbookViewId="0">
      <selection activeCell="L16" sqref="L16"/>
    </sheetView>
  </sheetViews>
  <sheetFormatPr defaultColWidth="8.6640625" defaultRowHeight="14.4" x14ac:dyDescent="0.3"/>
  <cols>
    <col min="1" max="1" width="36" customWidth="1"/>
    <col min="2" max="4" width="14" customWidth="1"/>
    <col min="5" max="5" width="75.5546875" bestFit="1" customWidth="1"/>
  </cols>
  <sheetData>
    <row r="1" spans="1:5" ht="30" customHeight="1" x14ac:dyDescent="0.3">
      <c r="A1" s="69" t="s">
        <v>113</v>
      </c>
      <c r="B1" s="69"/>
      <c r="C1" s="69"/>
      <c r="D1" s="69"/>
      <c r="E1" s="69"/>
    </row>
    <row r="2" spans="1:5" ht="15.75" customHeight="1" x14ac:dyDescent="0.3">
      <c r="A2" s="66" t="s">
        <v>114</v>
      </c>
      <c r="B2" s="66"/>
      <c r="C2" s="66"/>
      <c r="D2" s="66"/>
      <c r="E2" s="66"/>
    </row>
    <row r="3" spans="1:5" ht="18" customHeight="1" x14ac:dyDescent="0.3">
      <c r="A3" s="67" t="s">
        <v>115</v>
      </c>
      <c r="B3" s="67"/>
      <c r="C3" s="67"/>
      <c r="D3" s="67"/>
      <c r="E3" s="67"/>
    </row>
    <row r="4" spans="1:5" ht="15" customHeight="1" x14ac:dyDescent="0.3">
      <c r="A4" s="10" t="s">
        <v>17</v>
      </c>
      <c r="B4" s="13">
        <f>'Income Statement'!B23</f>
        <v>-17675420.688000001</v>
      </c>
      <c r="C4" s="13">
        <f>'Income Statement'!C23</f>
        <v>-20076000</v>
      </c>
      <c r="D4" s="13">
        <f>'Income Statement'!D23</f>
        <v>-13545000</v>
      </c>
      <c r="E4" s="12" t="s">
        <v>116</v>
      </c>
    </row>
    <row r="5" spans="1:5" ht="15" customHeight="1" x14ac:dyDescent="0.3">
      <c r="A5" s="10" t="s">
        <v>117</v>
      </c>
      <c r="B5" s="13">
        <f>'Income Statement'!B19</f>
        <v>126000</v>
      </c>
      <c r="C5" s="13">
        <f>'Income Statement'!C19</f>
        <v>180000</v>
      </c>
      <c r="D5" s="13">
        <f>'Income Statement'!D19</f>
        <v>240000</v>
      </c>
      <c r="E5" s="12" t="s">
        <v>118</v>
      </c>
    </row>
    <row r="6" spans="1:5" ht="15" customHeight="1" x14ac:dyDescent="0.3">
      <c r="A6" s="10" t="s">
        <v>119</v>
      </c>
      <c r="B6" s="13">
        <f>Assumptions!B14</f>
        <v>-300000</v>
      </c>
      <c r="C6" s="13">
        <f>Assumptions!C14</f>
        <v>-500000</v>
      </c>
      <c r="D6" s="13">
        <f>Assumptions!D14</f>
        <v>-700000</v>
      </c>
      <c r="E6" s="12" t="s">
        <v>120</v>
      </c>
    </row>
    <row r="7" spans="1:5" ht="15" customHeight="1" x14ac:dyDescent="0.3">
      <c r="A7" s="7" t="s">
        <v>20</v>
      </c>
      <c r="B7" s="26">
        <f>B4+B5+B6</f>
        <v>-17849420.688000001</v>
      </c>
      <c r="C7" s="26">
        <f>C4+C5+C6</f>
        <v>-20396000</v>
      </c>
      <c r="D7" s="26">
        <f>D4+D5+D6</f>
        <v>-14005000</v>
      </c>
      <c r="E7" s="9" t="s">
        <v>121</v>
      </c>
    </row>
    <row r="8" spans="1:5" ht="18" customHeight="1" x14ac:dyDescent="0.3">
      <c r="A8" s="68" t="s">
        <v>122</v>
      </c>
      <c r="B8" s="68"/>
      <c r="C8" s="68"/>
      <c r="D8" s="68"/>
      <c r="E8" s="68"/>
    </row>
    <row r="9" spans="1:5" ht="15" customHeight="1" x14ac:dyDescent="0.3">
      <c r="A9" s="10" t="s">
        <v>123</v>
      </c>
      <c r="B9" s="13">
        <f>-Assumptions!B16</f>
        <v>-240000</v>
      </c>
      <c r="C9" s="13">
        <f>-Assumptions!C16</f>
        <v>-600000</v>
      </c>
      <c r="D9" s="13">
        <f>-Assumptions!D16</f>
        <v>-1200000</v>
      </c>
      <c r="E9" s="12" t="s">
        <v>124</v>
      </c>
    </row>
    <row r="10" spans="1:5" ht="15" customHeight="1" x14ac:dyDescent="0.3">
      <c r="A10" s="7" t="s">
        <v>125</v>
      </c>
      <c r="B10" s="26">
        <f>B9</f>
        <v>-240000</v>
      </c>
      <c r="C10" s="26">
        <f>C9</f>
        <v>-600000</v>
      </c>
      <c r="D10" s="26">
        <f>D9</f>
        <v>-1200000</v>
      </c>
      <c r="E10" s="9" t="s">
        <v>126</v>
      </c>
    </row>
    <row r="11" spans="1:5" ht="18" customHeight="1" x14ac:dyDescent="0.3">
      <c r="A11" s="55" t="s">
        <v>127</v>
      </c>
      <c r="B11" s="55"/>
      <c r="C11" s="55"/>
      <c r="D11" s="55"/>
      <c r="E11" s="55"/>
    </row>
    <row r="12" spans="1:5" ht="15" customHeight="1" x14ac:dyDescent="0.3">
      <c r="A12" s="7" t="s">
        <v>128</v>
      </c>
      <c r="B12" s="26">
        <f>B7+B10</f>
        <v>-18089420.688000001</v>
      </c>
      <c r="C12" s="26">
        <f>C7+C10</f>
        <v>-20996000</v>
      </c>
      <c r="D12" s="26">
        <f>D7+D10</f>
        <v>-15205000</v>
      </c>
      <c r="E12" s="9" t="s">
        <v>129</v>
      </c>
    </row>
    <row r="13" spans="1:5" ht="15" customHeight="1" x14ac:dyDescent="0.3">
      <c r="A13" s="32" t="s">
        <v>24</v>
      </c>
      <c r="B13" s="33">
        <f>B12</f>
        <v>-18089420.688000001</v>
      </c>
      <c r="C13" s="33">
        <f>B13+C12</f>
        <v>-39085420.688000001</v>
      </c>
      <c r="D13" s="33">
        <f>C13+D12</f>
        <v>-54290420.688000001</v>
      </c>
      <c r="E13" s="29" t="s">
        <v>130</v>
      </c>
    </row>
    <row r="15" spans="1:5" ht="13.5" customHeight="1" x14ac:dyDescent="0.3">
      <c r="A15" s="58" t="s">
        <v>46</v>
      </c>
      <c r="B15" s="58"/>
      <c r="C15" s="59" t="s">
        <v>47</v>
      </c>
      <c r="D15" s="59"/>
      <c r="E15" s="59"/>
    </row>
  </sheetData>
  <mergeCells count="7">
    <mergeCell ref="A15:B15"/>
    <mergeCell ref="C15:E15"/>
    <mergeCell ref="A1:E1"/>
    <mergeCell ref="A2:E2"/>
    <mergeCell ref="A3:E3"/>
    <mergeCell ref="A8:E8"/>
    <mergeCell ref="A11:E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zoomScaleNormal="100" workbookViewId="0">
      <selection activeCell="C37" sqref="C37"/>
    </sheetView>
  </sheetViews>
  <sheetFormatPr defaultColWidth="8.6640625" defaultRowHeight="14.4" x14ac:dyDescent="0.3"/>
  <cols>
    <col min="1" max="1" width="38" customWidth="1"/>
    <col min="2" max="4" width="15" customWidth="1"/>
    <col min="5" max="5" width="104.109375" bestFit="1" customWidth="1"/>
  </cols>
  <sheetData>
    <row r="1" spans="1:5" ht="30" customHeight="1" x14ac:dyDescent="0.3">
      <c r="A1" s="69" t="s">
        <v>131</v>
      </c>
      <c r="B1" s="69"/>
      <c r="C1" s="69"/>
      <c r="D1" s="69"/>
      <c r="E1" s="69"/>
    </row>
    <row r="2" spans="1:5" x14ac:dyDescent="0.3">
      <c r="A2" s="61"/>
      <c r="B2" s="61"/>
      <c r="C2" s="61"/>
      <c r="D2" s="61"/>
      <c r="E2" s="61"/>
    </row>
    <row r="3" spans="1:5" ht="18" customHeight="1" x14ac:dyDescent="0.3">
      <c r="A3" s="67" t="s">
        <v>132</v>
      </c>
      <c r="B3" s="67"/>
      <c r="C3" s="67"/>
      <c r="D3" s="67"/>
      <c r="E3" s="67"/>
    </row>
    <row r="4" spans="1:5" ht="15" customHeight="1" x14ac:dyDescent="0.3">
      <c r="A4" s="10" t="s">
        <v>128</v>
      </c>
      <c r="B4" s="13">
        <f>'Cash Flow'!B12</f>
        <v>-18089420.688000001</v>
      </c>
      <c r="C4" s="13">
        <f>'Cash Flow'!C12</f>
        <v>-20996000</v>
      </c>
      <c r="D4" s="13">
        <f>'Cash Flow'!D12</f>
        <v>-15205000</v>
      </c>
      <c r="E4" s="12" t="s">
        <v>133</v>
      </c>
    </row>
    <row r="5" spans="1:5" ht="18" customHeight="1" x14ac:dyDescent="0.3">
      <c r="A5" s="68" t="s">
        <v>134</v>
      </c>
      <c r="B5" s="68"/>
      <c r="C5" s="68"/>
      <c r="D5" s="68"/>
      <c r="E5" s="68"/>
    </row>
    <row r="6" spans="1:5" ht="15" customHeight="1" x14ac:dyDescent="0.3">
      <c r="A6" s="10" t="s">
        <v>38</v>
      </c>
      <c r="B6" s="11">
        <f>Assumptions!B18</f>
        <v>0.25</v>
      </c>
      <c r="C6" s="11">
        <f>Assumptions!C18</f>
        <v>0.25</v>
      </c>
      <c r="D6" s="11">
        <f>Assumptions!D18</f>
        <v>0.25</v>
      </c>
      <c r="E6" s="12" t="s">
        <v>135</v>
      </c>
    </row>
    <row r="7" spans="1:5" ht="15" customHeight="1" x14ac:dyDescent="0.3">
      <c r="A7" s="27" t="s">
        <v>136</v>
      </c>
      <c r="B7" s="34">
        <v>1</v>
      </c>
      <c r="C7" s="34">
        <v>2</v>
      </c>
      <c r="D7" s="34">
        <v>3</v>
      </c>
      <c r="E7" s="29" t="s">
        <v>137</v>
      </c>
    </row>
    <row r="8" spans="1:5" ht="15" customHeight="1" x14ac:dyDescent="0.3">
      <c r="A8" s="27" t="s">
        <v>138</v>
      </c>
      <c r="B8" s="35">
        <f>1/(1+B6)^B7</f>
        <v>0.8</v>
      </c>
      <c r="C8" s="35">
        <f>1/(1+C6)^C7</f>
        <v>0.64</v>
      </c>
      <c r="D8" s="35">
        <f>1/(1+D6)^D7</f>
        <v>0.51200000000000001</v>
      </c>
      <c r="E8" s="29" t="s">
        <v>139</v>
      </c>
    </row>
    <row r="9" spans="1:5" ht="18" customHeight="1" x14ac:dyDescent="0.3">
      <c r="A9" s="64" t="s">
        <v>140</v>
      </c>
      <c r="B9" s="64"/>
      <c r="C9" s="64"/>
      <c r="D9" s="64"/>
      <c r="E9" s="64"/>
    </row>
    <row r="10" spans="1:5" ht="15" customHeight="1" x14ac:dyDescent="0.3">
      <c r="A10" s="7" t="s">
        <v>141</v>
      </c>
      <c r="B10" s="26">
        <f>B4*B8</f>
        <v>-14471536.550400002</v>
      </c>
      <c r="C10" s="26">
        <f>C4*C8</f>
        <v>-13437440</v>
      </c>
      <c r="D10" s="26">
        <f>D4*D8</f>
        <v>-7784960</v>
      </c>
      <c r="E10" s="9" t="s">
        <v>142</v>
      </c>
    </row>
    <row r="11" spans="1:5" ht="15" customHeight="1" x14ac:dyDescent="0.3">
      <c r="A11" s="7" t="s">
        <v>143</v>
      </c>
      <c r="B11" s="30">
        <f>B10+C10+D10</f>
        <v>-35693936.550400004</v>
      </c>
      <c r="C11" s="30" t="s">
        <v>11</v>
      </c>
      <c r="D11" s="30" t="s">
        <v>11</v>
      </c>
      <c r="E11" s="9" t="s">
        <v>144</v>
      </c>
    </row>
    <row r="12" spans="1:5" ht="18" customHeight="1" x14ac:dyDescent="0.3">
      <c r="A12" s="62" t="s">
        <v>145</v>
      </c>
      <c r="B12" s="62"/>
      <c r="C12" s="62"/>
      <c r="D12" s="62"/>
      <c r="E12" s="62"/>
    </row>
    <row r="13" spans="1:5" ht="15" customHeight="1" x14ac:dyDescent="0.3">
      <c r="A13" s="36" t="s">
        <v>146</v>
      </c>
      <c r="B13" s="37" t="s">
        <v>11</v>
      </c>
      <c r="C13" s="37" t="s">
        <v>11</v>
      </c>
      <c r="D13" s="37">
        <f>D4*(1+Assumptions!B19)/(Assumptions!B18-Assumptions!B19)</f>
        <v>-75300952.380952388</v>
      </c>
      <c r="E13" s="38" t="s">
        <v>147</v>
      </c>
    </row>
    <row r="14" spans="1:5" ht="15" customHeight="1" x14ac:dyDescent="0.3">
      <c r="A14" s="36" t="s">
        <v>148</v>
      </c>
      <c r="B14" s="37" t="s">
        <v>11</v>
      </c>
      <c r="C14" s="37" t="s">
        <v>11</v>
      </c>
      <c r="D14" s="37">
        <f>'Income Statement'!D16*Assumptions!B20</f>
        <v>-177600000</v>
      </c>
      <c r="E14" s="38" t="s">
        <v>149</v>
      </c>
    </row>
    <row r="15" spans="1:5" ht="15" customHeight="1" x14ac:dyDescent="0.3">
      <c r="A15" s="7" t="s">
        <v>150</v>
      </c>
      <c r="B15" s="30" t="s">
        <v>11</v>
      </c>
      <c r="C15" s="30" t="s">
        <v>11</v>
      </c>
      <c r="D15" s="30">
        <f>D13</f>
        <v>-75300952.380952388</v>
      </c>
      <c r="E15" s="9" t="s">
        <v>151</v>
      </c>
    </row>
    <row r="16" spans="1:5" ht="15" customHeight="1" x14ac:dyDescent="0.3">
      <c r="A16" s="7" t="s">
        <v>152</v>
      </c>
      <c r="B16" s="26" t="s">
        <v>11</v>
      </c>
      <c r="C16" s="26" t="s">
        <v>11</v>
      </c>
      <c r="D16" s="26">
        <f>D15*D8</f>
        <v>-38554087.619047627</v>
      </c>
      <c r="E16" s="9" t="s">
        <v>153</v>
      </c>
    </row>
    <row r="17" spans="1:5" ht="18" customHeight="1" x14ac:dyDescent="0.3">
      <c r="A17" s="55" t="s">
        <v>154</v>
      </c>
      <c r="B17" s="55"/>
      <c r="C17" s="55"/>
      <c r="D17" s="55"/>
      <c r="E17" s="55"/>
    </row>
    <row r="18" spans="1:5" ht="15" customHeight="1" x14ac:dyDescent="0.3">
      <c r="A18" s="7" t="s">
        <v>27</v>
      </c>
      <c r="B18" s="26">
        <f>B11+D16</f>
        <v>-74248024.169447631</v>
      </c>
      <c r="C18" s="26" t="s">
        <v>11</v>
      </c>
      <c r="D18" s="26" t="s">
        <v>11</v>
      </c>
      <c r="E18" s="9" t="s">
        <v>155</v>
      </c>
    </row>
    <row r="19" spans="1:5" ht="15" customHeight="1" x14ac:dyDescent="0.3">
      <c r="A19" s="27" t="s">
        <v>156</v>
      </c>
      <c r="B19" s="33">
        <v>1500000</v>
      </c>
      <c r="C19" s="33" t="s">
        <v>11</v>
      </c>
      <c r="D19" s="33" t="s">
        <v>11</v>
      </c>
      <c r="E19" s="29" t="s">
        <v>157</v>
      </c>
    </row>
    <row r="20" spans="1:5" ht="15" customHeight="1" x14ac:dyDescent="0.3">
      <c r="A20" s="7" t="s">
        <v>158</v>
      </c>
      <c r="B20" s="26">
        <f>B18-B19</f>
        <v>-75748024.169447631</v>
      </c>
      <c r="C20" s="26" t="s">
        <v>11</v>
      </c>
      <c r="D20" s="26" t="s">
        <v>11</v>
      </c>
      <c r="E20" s="9" t="s">
        <v>159</v>
      </c>
    </row>
    <row r="21" spans="1:5" ht="15" customHeight="1" x14ac:dyDescent="0.3">
      <c r="A21" s="39" t="s">
        <v>160</v>
      </c>
      <c r="B21" s="21">
        <f>Assumptions!B22</f>
        <v>1000000</v>
      </c>
      <c r="C21" s="21" t="s">
        <v>11</v>
      </c>
      <c r="D21" s="21" t="s">
        <v>11</v>
      </c>
      <c r="E21" s="29" t="s">
        <v>161</v>
      </c>
    </row>
    <row r="22" spans="1:5" ht="15" customHeight="1" x14ac:dyDescent="0.3">
      <c r="A22" s="7" t="s">
        <v>31</v>
      </c>
      <c r="B22" s="40">
        <f>IFERROR(B20/B21,0)</f>
        <v>-75.748024169447632</v>
      </c>
      <c r="C22" s="40" t="s">
        <v>11</v>
      </c>
      <c r="D22" s="40" t="s">
        <v>11</v>
      </c>
      <c r="E22" s="9" t="s">
        <v>162</v>
      </c>
    </row>
    <row r="23" spans="1:5" ht="18" customHeight="1" x14ac:dyDescent="0.3">
      <c r="A23" s="68" t="s">
        <v>163</v>
      </c>
      <c r="B23" s="68"/>
      <c r="C23" s="68"/>
      <c r="D23" s="68"/>
      <c r="E23" s="68"/>
    </row>
    <row r="24" spans="1:5" ht="15" customHeight="1" x14ac:dyDescent="0.3">
      <c r="A24" s="27" t="s">
        <v>164</v>
      </c>
      <c r="B24" s="41">
        <f>IFERROR(B18/'Income Statement'!D4,0)</f>
        <v>-1.9335422960793653</v>
      </c>
      <c r="C24" s="41" t="s">
        <v>11</v>
      </c>
      <c r="D24" s="41" t="s">
        <v>11</v>
      </c>
      <c r="E24" s="29" t="s">
        <v>165</v>
      </c>
    </row>
    <row r="25" spans="1:5" ht="15" customHeight="1" x14ac:dyDescent="0.3">
      <c r="A25" s="27" t="s">
        <v>166</v>
      </c>
      <c r="B25" s="41">
        <f>IFERROR(B18/'Income Statement'!D16,0)</f>
        <v>4.1806319915229526</v>
      </c>
      <c r="C25" s="41" t="s">
        <v>11</v>
      </c>
      <c r="D25" s="41" t="s">
        <v>11</v>
      </c>
      <c r="E25" s="29" t="s">
        <v>167</v>
      </c>
    </row>
    <row r="27" spans="1:5" ht="13.5" customHeight="1" x14ac:dyDescent="0.3">
      <c r="A27" s="58" t="s">
        <v>46</v>
      </c>
      <c r="B27" s="58"/>
      <c r="C27" s="59" t="s">
        <v>47</v>
      </c>
      <c r="D27" s="59"/>
      <c r="E27" s="59"/>
    </row>
  </sheetData>
  <mergeCells count="10">
    <mergeCell ref="A1:E1"/>
    <mergeCell ref="A2:E2"/>
    <mergeCell ref="A3:E3"/>
    <mergeCell ref="A5:E5"/>
    <mergeCell ref="A9:E9"/>
    <mergeCell ref="A12:E12"/>
    <mergeCell ref="A17:E17"/>
    <mergeCell ref="A23:E23"/>
    <mergeCell ref="A27:B27"/>
    <mergeCell ref="C27:E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zoomScaleNormal="100" workbookViewId="0">
      <selection activeCell="J37" sqref="J37"/>
    </sheetView>
  </sheetViews>
  <sheetFormatPr defaultColWidth="8.6640625" defaultRowHeight="14.4" x14ac:dyDescent="0.3"/>
  <cols>
    <col min="1" max="1" width="24" customWidth="1"/>
    <col min="2" max="8" width="16" customWidth="1"/>
  </cols>
  <sheetData>
    <row r="1" spans="1:8" ht="30" customHeight="1" x14ac:dyDescent="0.3">
      <c r="A1" s="60" t="s">
        <v>168</v>
      </c>
      <c r="B1" s="60"/>
      <c r="C1" s="60"/>
      <c r="D1" s="60"/>
      <c r="E1" s="60"/>
      <c r="F1" s="60"/>
      <c r="G1" s="60"/>
      <c r="H1" s="60"/>
    </row>
    <row r="2" spans="1:8" ht="24" customHeight="1" x14ac:dyDescent="0.3">
      <c r="A2" s="61"/>
      <c r="B2" s="61"/>
      <c r="C2" s="61"/>
      <c r="D2" s="61"/>
      <c r="E2" s="61"/>
      <c r="F2" s="61"/>
      <c r="G2" s="61"/>
      <c r="H2" s="61"/>
    </row>
    <row r="3" spans="1:8" ht="18" customHeight="1" x14ac:dyDescent="0.3">
      <c r="A3" s="62" t="s">
        <v>169</v>
      </c>
      <c r="B3" s="62"/>
      <c r="C3" s="62"/>
      <c r="D3" s="62"/>
      <c r="E3" s="62"/>
      <c r="F3" s="62"/>
      <c r="G3" s="62"/>
      <c r="H3" s="62"/>
    </row>
    <row r="4" spans="1:8" ht="18" customHeight="1" x14ac:dyDescent="0.3">
      <c r="A4" s="63" t="s">
        <v>170</v>
      </c>
      <c r="B4" s="63"/>
      <c r="C4" s="63"/>
      <c r="D4" s="63"/>
      <c r="E4" s="63"/>
      <c r="F4" s="63"/>
      <c r="G4" s="63"/>
      <c r="H4" s="63"/>
    </row>
    <row r="5" spans="1:8" ht="18" customHeight="1" x14ac:dyDescent="0.3">
      <c r="A5" s="2" t="s">
        <v>171</v>
      </c>
      <c r="B5" s="42" t="s">
        <v>172</v>
      </c>
      <c r="C5" s="42" t="s">
        <v>173</v>
      </c>
      <c r="D5" s="42" t="s">
        <v>174</v>
      </c>
      <c r="E5" s="42" t="s">
        <v>175</v>
      </c>
      <c r="F5" s="42" t="s">
        <v>176</v>
      </c>
      <c r="G5" s="42" t="s">
        <v>177</v>
      </c>
      <c r="H5" s="42" t="s">
        <v>178</v>
      </c>
    </row>
    <row r="6" spans="1:8" ht="15" customHeight="1" x14ac:dyDescent="0.3">
      <c r="A6" s="43" t="s">
        <v>179</v>
      </c>
      <c r="B6" s="31">
        <f>('Cash Flow'!B12/(1+0.15)^1)+('Cash Flow'!C12/(1+0.15)^2)+('Cash Flow'!D12*0.5/(1+0.15)^3)+(('Cash Flow'!D12*0.5*(1+0.04)/(0.15-0.04))/(1+0.15)^3)</f>
        <v>-83865761.931823373</v>
      </c>
      <c r="C6" s="31">
        <f>('Cash Flow'!B12/(1+0.15)^1)+('Cash Flow'!C12/(1+0.15)^2)+('Cash Flow'!D12*0.75/(1+0.15)^3)+(('Cash Flow'!D12*0.75*(1+0.04)/(0.15-0.04))/(1+0.15)^3)</f>
        <v>-109995681.16193163</v>
      </c>
      <c r="D6" s="44">
        <f>('Cash Flow'!B12/(1+0.15)^1)+('Cash Flow'!C12/(1+0.15)^2)+('Cash Flow'!D12*1/(1+0.15)^3)+(('Cash Flow'!D12*1*(1+0.04)/(0.15-0.04))/(1+0.15)^3)</f>
        <v>-136125600.3920399</v>
      </c>
      <c r="E6" s="31">
        <f>('Cash Flow'!B12/(1+0.15)^1)+('Cash Flow'!C12/(1+0.15)^2)+('Cash Flow'!D12*1.25/(1+0.15)^3)+(('Cash Flow'!D12*1.25*(1+0.04)/(0.15-0.04))/(1+0.15)^3)</f>
        <v>-162255519.62214819</v>
      </c>
      <c r="F6" s="31">
        <f>('Cash Flow'!B12/(1+0.15)^1)+('Cash Flow'!C12/(1+0.15)^2)+('Cash Flow'!D12*1.5/(1+0.15)^3)+(('Cash Flow'!D12*1.5*(1+0.04)/(0.15-0.04))/(1+0.15)^3)</f>
        <v>-188385438.85225648</v>
      </c>
      <c r="G6" s="31">
        <f>('Cash Flow'!B12/(1+0.15)^1)+('Cash Flow'!C12/(1+0.15)^2)+('Cash Flow'!D12*2/(1+0.15)^3)+(('Cash Flow'!D12*2*(1+0.04)/(0.15-0.04))/(1+0.15)^3)</f>
        <v>-240645277.312473</v>
      </c>
      <c r="H6" s="31">
        <f>('Cash Flow'!B12/(1+0.15)^1)+('Cash Flow'!C12/(1+0.15)^2)+('Cash Flow'!D12*2.5/(1+0.15)^3)+(('Cash Flow'!D12*2.5*(1+0.04)/(0.15-0.04))/(1+0.15)^3)</f>
        <v>-292905115.77268958</v>
      </c>
    </row>
    <row r="7" spans="1:8" ht="15" customHeight="1" x14ac:dyDescent="0.3">
      <c r="A7" s="43" t="s">
        <v>180</v>
      </c>
      <c r="B7" s="31">
        <f>('Cash Flow'!B12/(1+0.2)^1)+('Cash Flow'!C12/(1+0.2)^2)+('Cash Flow'!D12*0.5/(1+0.2)^3)+(('Cash Flow'!D12*0.5*(1+0.04)/(0.2-0.04))/(1+0.2)^3)</f>
        <v>-62652034.601111114</v>
      </c>
      <c r="C7" s="31">
        <f>('Cash Flow'!B12/(1+0.2)^1)+('Cash Flow'!C12/(1+0.2)^2)+('Cash Flow'!D12*0.75/(1+0.2)^3)+(('Cash Flow'!D12*0.75*(1+0.04)/(0.2-0.04))/(1+0.2)^3)</f>
        <v>-79150515.50388889</v>
      </c>
      <c r="D7" s="44">
        <f>('Cash Flow'!B12/(1+0.2)^1)+('Cash Flow'!C12/(1+0.2)^2)+('Cash Flow'!D12*1/(1+0.2)^3)+(('Cash Flow'!D12*1*(1+0.04)/(0.2-0.04))/(1+0.2)^3)</f>
        <v>-95648996.406666666</v>
      </c>
      <c r="E7" s="31">
        <f>('Cash Flow'!B12/(1+0.2)^1)+('Cash Flow'!C12/(1+0.2)^2)+('Cash Flow'!D12*1.25/(1+0.2)^3)+(('Cash Flow'!D12*1.25*(1+0.04)/(0.2-0.04))/(1+0.2)^3)</f>
        <v>-112147477.30944446</v>
      </c>
      <c r="F7" s="31">
        <f>('Cash Flow'!B12/(1+0.2)^1)+('Cash Flow'!C12/(1+0.2)^2)+('Cash Flow'!D12*1.5/(1+0.2)^3)+(('Cash Flow'!D12*1.5*(1+0.04)/(0.2-0.04))/(1+0.2)^3)</f>
        <v>-128645958.21222222</v>
      </c>
      <c r="G7" s="31">
        <f>('Cash Flow'!B12/(1+0.2)^1)+('Cash Flow'!C12/(1+0.2)^2)+('Cash Flow'!D12*2/(1+0.2)^3)+(('Cash Flow'!D12*2*(1+0.04)/(0.2-0.04))/(1+0.2)^3)</f>
        <v>-161642920.0177778</v>
      </c>
      <c r="H7" s="31">
        <f>('Cash Flow'!B12/(1+0.2)^1)+('Cash Flow'!C12/(1+0.2)^2)+('Cash Flow'!D12*2.5/(1+0.2)^3)+(('Cash Flow'!D12*2.5*(1+0.04)/(0.2-0.04))/(1+0.2)^3)</f>
        <v>-194639881.82333332</v>
      </c>
    </row>
    <row r="8" spans="1:8" ht="15" customHeight="1" x14ac:dyDescent="0.3">
      <c r="A8" s="45" t="s">
        <v>181</v>
      </c>
      <c r="B8" s="46">
        <f>('Cash Flow'!B12/(1+0.25)^1)+('Cash Flow'!C12/(1+0.25)^2)+('Cash Flow'!D12*0.5/(1+0.25)^3)+(('Cash Flow'!D12*0.5*(1+0.04)/(0.25-0.04))/(1+0.25)^3)</f>
        <v>-51078500.35992381</v>
      </c>
      <c r="C8" s="46">
        <f>('Cash Flow'!B12/(1+0.25)^1)+('Cash Flow'!C12/(1+0.25)^2)+('Cash Flow'!D12*0.75/(1+0.25)^3)+(('Cash Flow'!D12*0.75*(1+0.04)/(0.25-0.04))/(1+0.25)^3)</f>
        <v>-62663262.26468572</v>
      </c>
      <c r="D8" s="47">
        <f>('Cash Flow'!B12/(1+0.25)^1)+('Cash Flow'!C12/(1+0.25)^2)+('Cash Flow'!D12*1/(1+0.25)^3)+(('Cash Flow'!D12*1*(1+0.04)/(0.25-0.04))/(1+0.25)^3)</f>
        <v>-74248024.169447631</v>
      </c>
      <c r="E8" s="46">
        <f>('Cash Flow'!B12/(1+0.25)^1)+('Cash Flow'!C12/(1+0.25)^2)+('Cash Flow'!D12*1.25/(1+0.25)^3)+(('Cash Flow'!D12*1.25*(1+0.04)/(0.25-0.04))/(1+0.25)^3)</f>
        <v>-85832786.074209526</v>
      </c>
      <c r="F8" s="46">
        <f>('Cash Flow'!B12/(1+0.25)^1)+('Cash Flow'!C12/(1+0.25)^2)+('Cash Flow'!D12*1.5/(1+0.25)^3)+(('Cash Flow'!D12*1.5*(1+0.04)/(0.25-0.04))/(1+0.25)^3)</f>
        <v>-97417547.978971437</v>
      </c>
      <c r="G8" s="46">
        <f>('Cash Flow'!B12/(1+0.25)^1)+('Cash Flow'!C12/(1+0.25)^2)+('Cash Flow'!D12*2/(1+0.25)^3)+(('Cash Flow'!D12*2*(1+0.04)/(0.25-0.04))/(1+0.25)^3)</f>
        <v>-120587071.78849524</v>
      </c>
      <c r="H8" s="46">
        <f>('Cash Flow'!B12/(1+0.25)^1)+('Cash Flow'!C12/(1+0.25)^2)+('Cash Flow'!D12*2.5/(1+0.25)^3)+(('Cash Flow'!D12*2.5*(1+0.04)/(0.25-0.04))/(1+0.25)^3)</f>
        <v>-143756595.59801906</v>
      </c>
    </row>
    <row r="9" spans="1:8" ht="15" customHeight="1" x14ac:dyDescent="0.3">
      <c r="A9" s="43" t="s">
        <v>182</v>
      </c>
      <c r="B9" s="31">
        <f>('Cash Flow'!B12/(1+0.3)^1)+('Cash Flow'!C12/(1+0.3)^2)+('Cash Flow'!D12*0.5/(1+0.3)^3)+(('Cash Flow'!D12*0.5*(1+0.04)/(0.3-0.04))/(1+0.3)^3)</f>
        <v>-43640610.360819295</v>
      </c>
      <c r="C9" s="31">
        <f>('Cash Flow'!B12/(1+0.3)^1)+('Cash Flow'!C12/(1+0.3)^2)+('Cash Flow'!D12*0.75/(1+0.3)^3)+(('Cash Flow'!D12*0.75*(1+0.04)/(0.3-0.04))/(1+0.3)^3)</f>
        <v>-52291611.726317704</v>
      </c>
      <c r="D9" s="44">
        <f>('Cash Flow'!B12/(1+0.3)^1)+('Cash Flow'!C12/(1+0.3)^2)+('Cash Flow'!D12*1/(1+0.3)^3)+(('Cash Flow'!D12*1*(1+0.04)/(0.3-0.04))/(1+0.3)^3)</f>
        <v>-60942613.091816105</v>
      </c>
      <c r="E9" s="31">
        <f>('Cash Flow'!B12/(1+0.3)^1)+('Cash Flow'!C12/(1+0.3)^2)+('Cash Flow'!D12*1.25/(1+0.3)^3)+(('Cash Flow'!D12*1.25*(1+0.04)/(0.3-0.04))/(1+0.3)^3)</f>
        <v>-69593614.457314506</v>
      </c>
      <c r="F9" s="31">
        <f>('Cash Flow'!B12/(1+0.3)^1)+('Cash Flow'!C12/(1+0.3)^2)+('Cash Flow'!D12*1.5/(1+0.3)^3)+(('Cash Flow'!D12*1.5*(1+0.04)/(0.3-0.04))/(1+0.3)^3)</f>
        <v>-78244615.822812915</v>
      </c>
      <c r="G9" s="31">
        <f>('Cash Flow'!B12/(1+0.3)^1)+('Cash Flow'!C12/(1+0.3)^2)+('Cash Flow'!D12*2/(1+0.3)^3)+(('Cash Flow'!D12*2*(1+0.04)/(0.3-0.04))/(1+0.3)^3)</f>
        <v>-95546618.553809717</v>
      </c>
      <c r="H9" s="31">
        <f>('Cash Flow'!B12/(1+0.3)^1)+('Cash Flow'!C12/(1+0.3)^2)+('Cash Flow'!D12*2.5/(1+0.3)^3)+(('Cash Flow'!D12*2.5*(1+0.04)/(0.3-0.04))/(1+0.3)^3)</f>
        <v>-112848621.28480653</v>
      </c>
    </row>
    <row r="10" spans="1:8" ht="15" customHeight="1" x14ac:dyDescent="0.3">
      <c r="A10" s="43" t="s">
        <v>183</v>
      </c>
      <c r="B10" s="31">
        <f>('Cash Flow'!B12/(1+0.35)^1)+('Cash Flow'!C12/(1+0.35)^2)+('Cash Flow'!D12*0.5/(1+0.35)^3)+(('Cash Flow'!D12*0.5*(1+0.04)/(0.35-0.04))/(1+0.35)^3)</f>
        <v>-38376357.463477142</v>
      </c>
      <c r="C10" s="31">
        <f>('Cash Flow'!B12/(1+0.35)^1)+('Cash Flow'!C12/(1+0.35)^2)+('Cash Flow'!D12*0.75/(1+0.35)^3)+(('Cash Flow'!D12*0.75*(1+0.04)/(0.35-0.04))/(1+0.35)^3)</f>
        <v>-45104531.276477717</v>
      </c>
      <c r="D10" s="44">
        <f>('Cash Flow'!B12/(1+0.35)^1)+('Cash Flow'!C12/(1+0.35)^2)+('Cash Flow'!D12*1/(1+0.35)^3)+(('Cash Flow'!D12*1*(1+0.04)/(0.35-0.04))/(1+0.35)^3)</f>
        <v>-51832705.089478284</v>
      </c>
      <c r="E10" s="31">
        <f>('Cash Flow'!B12/(1+0.35)^1)+('Cash Flow'!C12/(1+0.35)^2)+('Cash Flow'!D12*1.25/(1+0.35)^3)+(('Cash Flow'!D12*1.25*(1+0.04)/(0.35-0.04))/(1+0.35)^3)</f>
        <v>-58560878.902478859</v>
      </c>
      <c r="F10" s="31">
        <f>('Cash Flow'!B12/(1+0.35)^1)+('Cash Flow'!C12/(1+0.35)^2)+('Cash Flow'!D12*1.5/(1+0.35)^3)+(('Cash Flow'!D12*1.5*(1+0.04)/(0.35-0.04))/(1+0.35)^3)</f>
        <v>-65289052.715479434</v>
      </c>
      <c r="G10" s="31">
        <f>('Cash Flow'!B12/(1+0.35)^1)+('Cash Flow'!C12/(1+0.35)^2)+('Cash Flow'!D12*2/(1+0.35)^3)+(('Cash Flow'!D12*2*(1+0.04)/(0.35-0.04))/(1+0.35)^3)</f>
        <v>-78745400.341480583</v>
      </c>
      <c r="H10" s="31">
        <f>('Cash Flow'!B12/(1+0.35)^1)+('Cash Flow'!C12/(1+0.35)^2)+('Cash Flow'!D12*2.5/(1+0.35)^3)+(('Cash Flow'!D12*2.5*(1+0.04)/(0.35-0.04))/(1+0.35)^3)</f>
        <v>-92201747.967481732</v>
      </c>
    </row>
    <row r="13" spans="1:8" ht="24" customHeight="1" x14ac:dyDescent="0.3">
      <c r="A13" s="57" t="s">
        <v>184</v>
      </c>
      <c r="B13" s="57"/>
      <c r="C13" s="57"/>
      <c r="D13" s="57"/>
      <c r="E13" s="57"/>
      <c r="F13" s="57"/>
      <c r="G13" s="57"/>
      <c r="H13" s="57"/>
    </row>
    <row r="15" spans="1:8" ht="18" customHeight="1" x14ac:dyDescent="0.3">
      <c r="A15" s="55" t="s">
        <v>185</v>
      </c>
      <c r="B15" s="55"/>
      <c r="C15" s="55"/>
      <c r="D15" s="55"/>
      <c r="E15" s="55"/>
      <c r="F15" s="55"/>
      <c r="G15" s="55"/>
      <c r="H15" s="55"/>
    </row>
    <row r="16" spans="1:8" ht="18" customHeight="1" x14ac:dyDescent="0.3">
      <c r="A16" s="56" t="s">
        <v>186</v>
      </c>
      <c r="B16" s="56"/>
      <c r="C16" s="56"/>
      <c r="D16" s="56"/>
      <c r="E16" s="56"/>
      <c r="F16" s="56"/>
      <c r="G16" s="56"/>
      <c r="H16" s="56"/>
    </row>
    <row r="17" spans="1:8" ht="18" customHeight="1" x14ac:dyDescent="0.3">
      <c r="A17" s="2" t="s">
        <v>187</v>
      </c>
      <c r="B17" s="42" t="s">
        <v>188</v>
      </c>
      <c r="C17" s="42" t="s">
        <v>189</v>
      </c>
      <c r="D17" s="42" t="s">
        <v>190</v>
      </c>
      <c r="E17" s="42" t="s">
        <v>191</v>
      </c>
      <c r="F17" s="42" t="s">
        <v>192</v>
      </c>
    </row>
    <row r="18" spans="1:8" ht="15" customHeight="1" x14ac:dyDescent="0.3">
      <c r="A18" s="43" t="s">
        <v>193</v>
      </c>
      <c r="B18" s="31">
        <f>('Cash Flow'!B12/(1+0.15)^1)+('Cash Flow'!C12/(1+0.15)^2)+('Cash Flow'!D12/(1+0.15)^3)+(('Cash Flow'!D12*(1+0.02)/(0.15-0.02))/(1+0.15)^3)</f>
        <v>-120045650.09658866</v>
      </c>
      <c r="C18" s="31">
        <f>('Cash Flow'!B12/(1+0.2)^1)+('Cash Flow'!C12/(1+0.2)^2)+('Cash Flow'!D12/(1+0.2)^3)+(('Cash Flow'!D12*(1+0.02)/(0.2-0.02))/(1+0.2)^3)</f>
        <v>-88316338.227654323</v>
      </c>
      <c r="D18" s="44">
        <f>('Cash Flow'!B12/(1+0.25)^1)+('Cash Flow'!C12/(1+0.25)^2)+('Cash Flow'!D12/(1+0.25)^3)+(('Cash Flow'!D12*(1+0.02)/(0.25-0.02))/(1+0.25)^3)</f>
        <v>-70218541.767791301</v>
      </c>
      <c r="E18" s="31">
        <f>('Cash Flow'!B12/(1+0.3)^1)+('Cash Flow'!C12/(1+0.3)^2)+('Cash Flow'!D12/(1+0.3)^3)+(('Cash Flow'!D12*(1+0.02)/(0.3-0.02))/(1+0.3)^3)</f>
        <v>-58470898.415959418</v>
      </c>
      <c r="F18" s="31">
        <f>('Cash Flow'!B12/(1+0.35)^1)+('Cash Flow'!C12/(1+0.35)^2)+('Cash Flow'!D12/(1+0.35)^3)+(('Cash Flow'!D12*(1+0.02)/(0.35-0.02))/(1+0.35)^3)</f>
        <v>-50201632.649962999</v>
      </c>
    </row>
    <row r="19" spans="1:8" ht="15" customHeight="1" x14ac:dyDescent="0.3">
      <c r="A19" s="43" t="s">
        <v>194</v>
      </c>
      <c r="B19" s="31">
        <f>('Cash Flow'!B12/(1+0.15)^1)+('Cash Flow'!C12/(1+0.15)^2)+('Cash Flow'!D12/(1+0.15)^3)+(('Cash Flow'!D12*(1+0.03)/(0.15-0.03))/(1+0.15)^3)</f>
        <v>-127415627.31533715</v>
      </c>
      <c r="C19" s="31">
        <f>('Cash Flow'!B12/(1+0.2)^1)+('Cash Flow'!C12/(1+0.2)^2)+('Cash Flow'!D12/(1+0.2)^3)+(('Cash Flow'!D12*(1+0.03)/(0.2-0.03))/(1+0.2)^3)</f>
        <v>-91767000.900130719</v>
      </c>
      <c r="D19" s="44">
        <f>('Cash Flow'!B12/(1+0.25)^1)+('Cash Flow'!C12/(1+0.25)^2)+('Cash Flow'!D12/(1+0.25)^3)+(('Cash Flow'!D12*(1+0.03)/(0.25-0.03))/(1+0.25)^3)</f>
        <v>-72141703.82312727</v>
      </c>
      <c r="E19" s="31">
        <f>('Cash Flow'!B12/(1+0.3)^1)+('Cash Flow'!C12/(1+0.3)^2)+('Cash Flow'!D12/(1+0.3)^3)+(('Cash Flow'!D12*(1+0.03)/(0.3-0.03))/(1+0.3)^3)</f>
        <v>-59660983.259890415</v>
      </c>
      <c r="F19" s="31">
        <f>('Cash Flow'!B12/(1+0.35)^1)+('Cash Flow'!C12/(1+0.35)^2)+('Cash Flow'!D12/(1+0.35)^3)+(('Cash Flow'!D12*(1+0.03)/(0.35-0.03))/(1+0.35)^3)</f>
        <v>-50991683.362853214</v>
      </c>
    </row>
    <row r="20" spans="1:8" ht="15" customHeight="1" x14ac:dyDescent="0.3">
      <c r="A20" s="45" t="s">
        <v>195</v>
      </c>
      <c r="B20" s="46">
        <f>('Cash Flow'!B12/(1+0.15)^1)+('Cash Flow'!C12/(1+0.15)^2)+('Cash Flow'!D12/(1+0.15)^3)+(('Cash Flow'!D12*(1+0.04)/(0.15-0.04))/(1+0.15)^3)</f>
        <v>-136125600.3920399</v>
      </c>
      <c r="C20" s="46">
        <f>('Cash Flow'!B12/(1+0.2)^1)+('Cash Flow'!C12/(1+0.2)^2)+('Cash Flow'!D12/(1+0.2)^3)+(('Cash Flow'!D12*(1+0.04)/(0.2-0.04))/(1+0.2)^3)</f>
        <v>-95648996.406666666</v>
      </c>
      <c r="D20" s="47">
        <f>('Cash Flow'!B12/(1+0.25)^1)+('Cash Flow'!C12/(1+0.25)^2)+('Cash Flow'!D12/(1+0.25)^3)+(('Cash Flow'!D12*(1+0.04)/(0.25-0.04))/(1+0.25)^3)</f>
        <v>-74248024.169447631</v>
      </c>
      <c r="E20" s="46">
        <f>('Cash Flow'!B12/(1+0.3)^1)+('Cash Flow'!C12/(1+0.3)^2)+('Cash Flow'!D12/(1+0.3)^3)+(('Cash Flow'!D12*(1+0.04)/(0.3-0.04))/(1+0.3)^3)</f>
        <v>-60942613.091816105</v>
      </c>
      <c r="F20" s="46">
        <f>('Cash Flow'!B12/(1+0.35)^1)+('Cash Flow'!C12/(1+0.35)^2)+('Cash Flow'!D12/(1+0.35)^3)+(('Cash Flow'!D12*(1+0.04)/(0.35-0.04))/(1+0.35)^3)</f>
        <v>-51832705.089478284</v>
      </c>
    </row>
    <row r="21" spans="1:8" ht="15" customHeight="1" x14ac:dyDescent="0.3">
      <c r="A21" s="43" t="s">
        <v>196</v>
      </c>
      <c r="B21" s="31">
        <f>('Cash Flow'!B12/(1+0.15)^1)+('Cash Flow'!C12/(1+0.15)^2)+('Cash Flow'!D12/(1+0.15)^3)+(('Cash Flow'!D12*(1+0.05)/(0.15-0.05))/(1+0.15)^3)</f>
        <v>-146577568.0840832</v>
      </c>
      <c r="C21" s="31">
        <f>('Cash Flow'!B12/(1+0.2)^1)+('Cash Flow'!C12/(1+0.2)^2)+('Cash Flow'!D12/(1+0.2)^3)+(('Cash Flow'!D12*(1+0.05)/(0.2-0.05))/(1+0.2)^3)</f>
        <v>-100048591.31407407</v>
      </c>
      <c r="D21" s="44">
        <f>('Cash Flow'!B12/(1+0.25)^1)+('Cash Flow'!C12/(1+0.25)^2)+('Cash Flow'!D12/(1+0.25)^3)+(('Cash Flow'!D12*(1+0.05)/(0.25-0.05))/(1+0.25)^3)</f>
        <v>-76564976.550400004</v>
      </c>
      <c r="E21" s="31">
        <f>('Cash Flow'!B12/(1+0.3)^1)+('Cash Flow'!C12/(1+0.3)^2)+('Cash Flow'!D12/(1+0.3)^3)+(('Cash Flow'!D12*(1+0.05)/(0.3-0.05))/(1+0.3)^3)</f>
        <v>-62326773.31029585</v>
      </c>
      <c r="F21" s="31">
        <f>('Cash Flow'!B12/(1+0.35)^1)+('Cash Flow'!C12/(1+0.35)^2)+('Cash Flow'!D12/(1+0.35)^3)+(('Cash Flow'!D12*(1+0.05)/(0.35-0.05))/(1+0.35)^3)</f>
        <v>-52729794.931211695</v>
      </c>
    </row>
    <row r="22" spans="1:8" ht="15" customHeight="1" x14ac:dyDescent="0.3">
      <c r="A22" s="43" t="s">
        <v>197</v>
      </c>
      <c r="B22" s="31">
        <f>('Cash Flow'!B12/(1+0.15)^1)+('Cash Flow'!C12/(1+0.15)^2)+('Cash Flow'!D12/(1+0.15)^3)+(('Cash Flow'!D12*(1+0.06)/(0.15-0.06))/(1+0.15)^3)</f>
        <v>-159352195.26324725</v>
      </c>
      <c r="C22" s="31">
        <f>('Cash Flow'!B12/(1+0.2)^1)+('Cash Flow'!C12/(1+0.2)^2)+('Cash Flow'!D12/(1+0.2)^3)+(('Cash Flow'!D12*(1+0.06)/(0.2-0.06))/(1+0.2)^3)</f>
        <v>-105076699.77968255</v>
      </c>
      <c r="D22" s="44">
        <f>('Cash Flow'!B12/(1+0.25)^1)+('Cash Flow'!C12/(1+0.25)^2)+('Cash Flow'!D12/(1+0.25)^3)+(('Cash Flow'!D12*(1+0.06)/(0.25-0.06))/(1+0.25)^3)</f>
        <v>-79125818.655663162</v>
      </c>
      <c r="E22" s="31">
        <f>('Cash Flow'!B12/(1+0.3)^1)+('Cash Flow'!C12/(1+0.3)^2)+('Cash Flow'!D12/(1+0.3)^3)+(('Cash Flow'!D12*(1+0.06)/(0.3-0.06))/(1+0.3)^3)</f>
        <v>-63826280.213648915</v>
      </c>
      <c r="F22" s="31">
        <f>('Cash Flow'!B12/(1+0.35)^1)+('Cash Flow'!C12/(1+0.35)^2)+('Cash Flow'!D12/(1+0.35)^3)+(('Cash Flow'!D12*(1+0.06)/(0.35-0.06))/(1+0.35)^3)</f>
        <v>-53688753.037892237</v>
      </c>
    </row>
    <row r="25" spans="1:8" ht="15.75" customHeight="1" x14ac:dyDescent="0.3">
      <c r="A25" s="57" t="s">
        <v>198</v>
      </c>
      <c r="B25" s="57"/>
      <c r="C25" s="57"/>
      <c r="D25" s="57"/>
      <c r="E25" s="57"/>
      <c r="F25" s="57"/>
      <c r="G25" s="57"/>
      <c r="H25" s="57"/>
    </row>
    <row r="27" spans="1:8" ht="13.5" customHeight="1" x14ac:dyDescent="0.3">
      <c r="A27" s="58" t="s">
        <v>46</v>
      </c>
      <c r="B27" s="58"/>
      <c r="C27" s="58"/>
      <c r="D27" s="58"/>
      <c r="E27" s="59" t="s">
        <v>47</v>
      </c>
      <c r="F27" s="59"/>
      <c r="G27" s="59"/>
      <c r="H27" s="59"/>
    </row>
  </sheetData>
  <mergeCells count="10">
    <mergeCell ref="A1:H1"/>
    <mergeCell ref="A2:H2"/>
    <mergeCell ref="A3:H3"/>
    <mergeCell ref="A4:H4"/>
    <mergeCell ref="A13:H13"/>
    <mergeCell ref="A15:H15"/>
    <mergeCell ref="A16:H16"/>
    <mergeCell ref="A25:H25"/>
    <mergeCell ref="A27:D27"/>
    <mergeCell ref="E27:H2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showGridLines="0" showRowColHeaders="0" zoomScaleNormal="100" workbookViewId="0">
      <selection activeCell="D5" sqref="D5"/>
    </sheetView>
  </sheetViews>
  <sheetFormatPr defaultColWidth="8.6640625" defaultRowHeight="14.4" x14ac:dyDescent="0.3"/>
  <cols>
    <col min="1" max="1" width="5" customWidth="1"/>
    <col min="2" max="2" width="26" customWidth="1"/>
    <col min="3" max="3" width="99.33203125" bestFit="1" customWidth="1"/>
  </cols>
  <sheetData>
    <row r="1" spans="1:3" ht="30" customHeight="1" x14ac:dyDescent="0.3">
      <c r="A1" s="65" t="s">
        <v>199</v>
      </c>
      <c r="B1" s="65"/>
      <c r="C1" s="65"/>
    </row>
    <row r="2" spans="1:3" ht="75" customHeight="1" x14ac:dyDescent="0.3">
      <c r="A2" s="48"/>
      <c r="B2" s="49" t="s">
        <v>200</v>
      </c>
      <c r="C2" s="50" t="s">
        <v>201</v>
      </c>
    </row>
    <row r="3" spans="1:3" ht="75" customHeight="1" x14ac:dyDescent="0.3">
      <c r="A3" s="48"/>
      <c r="B3" s="49" t="s">
        <v>202</v>
      </c>
      <c r="C3" s="50" t="s">
        <v>203</v>
      </c>
    </row>
    <row r="4" spans="1:3" ht="75" customHeight="1" x14ac:dyDescent="0.3">
      <c r="A4" s="48"/>
      <c r="B4" s="49" t="s">
        <v>204</v>
      </c>
      <c r="C4" s="50" t="s">
        <v>205</v>
      </c>
    </row>
    <row r="5" spans="1:3" ht="75" customHeight="1" x14ac:dyDescent="0.3">
      <c r="A5" s="48"/>
      <c r="B5" s="49" t="s">
        <v>206</v>
      </c>
      <c r="C5" s="50" t="s">
        <v>207</v>
      </c>
    </row>
    <row r="6" spans="1:3" ht="85.2" customHeight="1" x14ac:dyDescent="0.3">
      <c r="A6" s="48"/>
      <c r="B6" s="49" t="s">
        <v>208</v>
      </c>
      <c r="C6" s="50" t="s">
        <v>209</v>
      </c>
    </row>
    <row r="7" spans="1:3" ht="75" customHeight="1" x14ac:dyDescent="0.3">
      <c r="A7" s="48"/>
      <c r="B7" s="49" t="s">
        <v>210</v>
      </c>
      <c r="C7" s="50" t="s">
        <v>211</v>
      </c>
    </row>
    <row r="8" spans="1:3" ht="75" customHeight="1" x14ac:dyDescent="0.3">
      <c r="A8" s="48"/>
      <c r="B8" s="51" t="s">
        <v>212</v>
      </c>
      <c r="C8" s="52" t="s">
        <v>213</v>
      </c>
    </row>
    <row r="10" spans="1:3" ht="13.5" customHeight="1" x14ac:dyDescent="0.3">
      <c r="A10" s="1"/>
      <c r="B10" s="59" t="s">
        <v>47</v>
      </c>
      <c r="C10" s="59"/>
    </row>
  </sheetData>
  <mergeCells count="2">
    <mergeCell ref="A1:C1"/>
    <mergeCell ref="B10:C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Assumptions</vt:lpstr>
      <vt:lpstr>Income Statement</vt:lpstr>
      <vt:lpstr>Cash Flow</vt:lpstr>
      <vt:lpstr>DCF Valuation</vt:lpstr>
      <vt:lpstr>Sensitivity Table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AKM</dc:creator>
  <dc:description/>
  <cp:lastModifiedBy>Anjani Kumar Mishra</cp:lastModifiedBy>
  <cp:revision>0</cp:revision>
  <dcterms:created xsi:type="dcterms:W3CDTF">2026-04-03T08:17:44Z</dcterms:created>
  <dcterms:modified xsi:type="dcterms:W3CDTF">2026-04-04T08:31:28Z</dcterms:modified>
  <dc:language>en-US</dc:language>
</cp:coreProperties>
</file>