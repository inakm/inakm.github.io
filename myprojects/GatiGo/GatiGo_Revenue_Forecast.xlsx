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1800" windowWidth="21570" windowHeight="9435" tabRatio="500" firstSheet="2" activeTab="5"/>
  </bookViews>
  <sheets>
    <sheet name="📖 Read Me First" sheetId="1" r:id="rId1"/>
    <sheet name="📊 Q1 Actuals Recap" sheetId="2" r:id="rId2"/>
    <sheet name="🔧 Revenue Drivers" sheetId="3" r:id="rId3"/>
    <sheet name="🎯 Scenario Analysis" sheetId="4" r:id="rId4"/>
    <sheet name="📈 Forecast Summary" sheetId="5" r:id="rId5"/>
    <sheet name="🔍 Sensitivity Analysis" sheetId="6" r:id="rId6"/>
    <sheet name="💡 Insights" sheetId="7" r:id="rId7"/>
  </sheets>
  <calcPr calcId="15251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5" i="5" l="1"/>
  <c r="E22" i="2" l="1"/>
  <c r="E21" i="2"/>
  <c r="E20" i="2"/>
  <c r="E19" i="2"/>
  <c r="E18" i="2"/>
  <c r="E16" i="2"/>
  <c r="E15" i="2"/>
  <c r="E14" i="2"/>
  <c r="E13" i="2"/>
  <c r="E12" i="2"/>
  <c r="E11" i="2"/>
  <c r="E9" i="2"/>
  <c r="E5" i="2"/>
  <c r="E7" i="2"/>
  <c r="P12" i="5" l="1"/>
  <c r="O12" i="5"/>
  <c r="N12" i="5"/>
  <c r="Q12" i="5" s="1"/>
  <c r="L12" i="5"/>
  <c r="K12" i="5"/>
  <c r="J12" i="5"/>
  <c r="M12" i="5" s="1"/>
  <c r="H12" i="5"/>
  <c r="G12" i="5"/>
  <c r="F12" i="5"/>
  <c r="I12" i="5" s="1"/>
  <c r="F5" i="5"/>
  <c r="J28" i="3"/>
  <c r="P9" i="5" s="1"/>
  <c r="I28" i="3"/>
  <c r="O9" i="5" s="1"/>
  <c r="H28" i="3"/>
  <c r="N9" i="5" s="1"/>
  <c r="G28" i="3"/>
  <c r="L9" i="5" s="1"/>
  <c r="F28" i="3"/>
  <c r="K9" i="5" s="1"/>
  <c r="E28" i="3"/>
  <c r="J9" i="5" s="1"/>
  <c r="M9" i="5" s="1"/>
  <c r="D28" i="3"/>
  <c r="H9" i="5" s="1"/>
  <c r="C28" i="3"/>
  <c r="G9" i="5" s="1"/>
  <c r="B28" i="3"/>
  <c r="F9" i="5" s="1"/>
  <c r="I9" i="5" s="1"/>
  <c r="K24" i="3"/>
  <c r="J23" i="3"/>
  <c r="P11" i="5" s="1"/>
  <c r="I23" i="3"/>
  <c r="O11" i="5" s="1"/>
  <c r="H23" i="3"/>
  <c r="N11" i="5" s="1"/>
  <c r="Q11" i="5" s="1"/>
  <c r="G23" i="3"/>
  <c r="L11" i="5" s="1"/>
  <c r="F23" i="3"/>
  <c r="K11" i="5" s="1"/>
  <c r="E23" i="3"/>
  <c r="J11" i="5" s="1"/>
  <c r="D23" i="3"/>
  <c r="H11" i="5" s="1"/>
  <c r="C23" i="3"/>
  <c r="G11" i="5" s="1"/>
  <c r="B23" i="3"/>
  <c r="F11" i="5" s="1"/>
  <c r="K20" i="3"/>
  <c r="J20" i="3"/>
  <c r="P10" i="5" s="1"/>
  <c r="I20" i="3"/>
  <c r="O10" i="5" s="1"/>
  <c r="H20" i="3"/>
  <c r="N10" i="5" s="1"/>
  <c r="G20" i="3"/>
  <c r="L10" i="5" s="1"/>
  <c r="F20" i="3"/>
  <c r="K10" i="5" s="1"/>
  <c r="E20" i="3"/>
  <c r="J10" i="5" s="1"/>
  <c r="M10" i="5" s="1"/>
  <c r="D20" i="3"/>
  <c r="H10" i="5" s="1"/>
  <c r="C20" i="3"/>
  <c r="G10" i="5" s="1"/>
  <c r="B20" i="3"/>
  <c r="F10" i="5" s="1"/>
  <c r="I10" i="5" s="1"/>
  <c r="B10" i="3"/>
  <c r="F6" i="5" s="1"/>
  <c r="B7" i="3"/>
  <c r="C5" i="3"/>
  <c r="G5" i="5" s="1"/>
  <c r="I11" i="5" l="1"/>
  <c r="Q9" i="5"/>
  <c r="R9" i="5"/>
  <c r="M11" i="5"/>
  <c r="R10" i="5"/>
  <c r="Q10" i="5"/>
  <c r="R12" i="5"/>
  <c r="C10" i="3"/>
  <c r="B15" i="3"/>
  <c r="K28" i="3"/>
  <c r="D5" i="3"/>
  <c r="K23" i="3"/>
  <c r="C7" i="3"/>
  <c r="D7" i="3" l="1"/>
  <c r="E5" i="3"/>
  <c r="D10" i="3"/>
  <c r="H5" i="5"/>
  <c r="I5" i="5" s="1"/>
  <c r="G6" i="5"/>
  <c r="C15" i="3"/>
  <c r="B30" i="3"/>
  <c r="F8" i="5"/>
  <c r="R11" i="5"/>
  <c r="H6" i="5" l="1"/>
  <c r="D15" i="3"/>
  <c r="I6" i="5"/>
  <c r="E10" i="3"/>
  <c r="J5" i="5"/>
  <c r="E7" i="3"/>
  <c r="F5" i="3"/>
  <c r="C30" i="3"/>
  <c r="G8" i="5"/>
  <c r="F15" i="5"/>
  <c r="B32" i="3"/>
  <c r="B31" i="3"/>
  <c r="F13" i="5"/>
  <c r="K5" i="5" l="1"/>
  <c r="F10" i="3"/>
  <c r="F7" i="3"/>
  <c r="G5" i="3"/>
  <c r="J6" i="5"/>
  <c r="E15" i="3"/>
  <c r="D30" i="3"/>
  <c r="H8" i="5"/>
  <c r="I8" i="5" s="1"/>
  <c r="C32" i="3"/>
  <c r="G15" i="5" s="1"/>
  <c r="C31" i="3"/>
  <c r="G13" i="5"/>
  <c r="D32" i="3" l="1"/>
  <c r="H15" i="5" s="1"/>
  <c r="D31" i="3"/>
  <c r="H13" i="5"/>
  <c r="I13" i="5" s="1"/>
  <c r="D4" i="6"/>
  <c r="G10" i="3"/>
  <c r="L5" i="5"/>
  <c r="M5" i="5" s="1"/>
  <c r="G7" i="3"/>
  <c r="H5" i="3"/>
  <c r="K6" i="5"/>
  <c r="F15" i="3"/>
  <c r="E30" i="3"/>
  <c r="J8" i="5"/>
  <c r="E31" i="3" l="1"/>
  <c r="J13" i="5"/>
  <c r="E32" i="3"/>
  <c r="J15" i="5" s="1"/>
  <c r="F13" i="6"/>
  <c r="F11" i="6"/>
  <c r="F9" i="6"/>
  <c r="F7" i="6"/>
  <c r="E13" i="6"/>
  <c r="E11" i="6"/>
  <c r="E9" i="6"/>
  <c r="E7" i="6"/>
  <c r="C13" i="6"/>
  <c r="C11" i="6"/>
  <c r="C9" i="6"/>
  <c r="C7" i="6"/>
  <c r="B13" i="6"/>
  <c r="B11" i="6"/>
  <c r="B9" i="6"/>
  <c r="B7" i="6"/>
  <c r="F12" i="6"/>
  <c r="F10" i="6"/>
  <c r="F8" i="6"/>
  <c r="F6" i="6"/>
  <c r="E12" i="6"/>
  <c r="E10" i="6"/>
  <c r="E8" i="6"/>
  <c r="E6" i="6"/>
  <c r="C12" i="6"/>
  <c r="C10" i="6"/>
  <c r="C8" i="6"/>
  <c r="C6" i="6"/>
  <c r="B12" i="6"/>
  <c r="B10" i="6"/>
  <c r="B8" i="6"/>
  <c r="B6" i="6"/>
  <c r="F30" i="3"/>
  <c r="K8" i="5"/>
  <c r="N5" i="5"/>
  <c r="H7" i="3"/>
  <c r="I5" i="3"/>
  <c r="H10" i="3"/>
  <c r="G15" i="3"/>
  <c r="L6" i="5"/>
  <c r="M6" i="5" s="1"/>
  <c r="H15" i="3" l="1"/>
  <c r="N6" i="5"/>
  <c r="O5" i="5"/>
  <c r="I10" i="3"/>
  <c r="I7" i="3"/>
  <c r="J5" i="3"/>
  <c r="G30" i="3"/>
  <c r="L8" i="5"/>
  <c r="M8" i="5" s="1"/>
  <c r="K13" i="5"/>
  <c r="F32" i="3"/>
  <c r="K15" i="5" s="1"/>
  <c r="F31" i="3"/>
  <c r="J10" i="3" l="1"/>
  <c r="J7" i="3"/>
  <c r="K7" i="3" s="1"/>
  <c r="P5" i="5"/>
  <c r="Q5" i="5" s="1"/>
  <c r="R5" i="5" s="1"/>
  <c r="O6" i="5"/>
  <c r="I15" i="3"/>
  <c r="K10" i="3"/>
  <c r="L13" i="5"/>
  <c r="M13" i="5" s="1"/>
  <c r="G32" i="3"/>
  <c r="L15" i="5" s="1"/>
  <c r="G31" i="3"/>
  <c r="N8" i="5"/>
  <c r="H30" i="3"/>
  <c r="O8" i="5" l="1"/>
  <c r="I30" i="3"/>
  <c r="H32" i="3"/>
  <c r="N15" i="5" s="1"/>
  <c r="H31" i="3"/>
  <c r="N13" i="5"/>
  <c r="P6" i="5"/>
  <c r="Q6" i="5" s="1"/>
  <c r="R6" i="5" s="1"/>
  <c r="J15" i="3"/>
  <c r="P8" i="5" l="1"/>
  <c r="Q8" i="5" s="1"/>
  <c r="R8" i="5" s="1"/>
  <c r="J30" i="3"/>
  <c r="K15" i="3"/>
  <c r="I32" i="3"/>
  <c r="O15" i="5" s="1"/>
  <c r="I31" i="3"/>
  <c r="O13" i="5"/>
  <c r="J32" i="3" l="1"/>
  <c r="P15" i="5" s="1"/>
  <c r="J31" i="3"/>
  <c r="P13" i="5"/>
  <c r="Q13" i="5" s="1"/>
  <c r="R13" i="5" s="1"/>
  <c r="K30" i="3"/>
</calcChain>
</file>

<file path=xl/sharedStrings.xml><?xml version="1.0" encoding="utf-8"?>
<sst xmlns="http://schemas.openxmlformats.org/spreadsheetml/2006/main" count="317" uniqueCount="234">
  <si>
    <t>GatiGo — Revenue Forecasting &amp; Driver-Based Model  |  FP&amp;A Student Project</t>
  </si>
  <si>
    <t>This file forecasts GatiGo's revenue for Q2–Q4 FY2026 using a driver-based approach — where every revenue number is built from real business drivers, not just a % growth guess.</t>
  </si>
  <si>
    <t>What is Driver-Based Forecasting?</t>
  </si>
  <si>
    <t>What is in this file?</t>
  </si>
  <si>
    <t>Sheet 1 → This intro page
Sheet 2 → Q1 Actuals recap (the starting point — matches GatiGo_Clean_Dashboard.xlsx)
Sheet 3 → Revenue Drivers Table (the core forecasting engine)
Sheet 4 → Scenario Analysis (Base / High Growth / Low Growth)
Sheet 5 → Revenue Forecast Summary with charts
Sheet 6 → Sensitivity Analysis (how sensitive is revenue to each driver?)
Sheet 7 → Insights &amp; Recommendations</t>
  </si>
  <si>
    <t>How to use this file</t>
  </si>
  <si>
    <t>1. Start with Sheet 2 to understand Q1 actuals (do not edit — these are locked reference numbers)
2. Go to Sheet 3 (Revenue Drivers) — change the BLUE cells to try different assumptions
3. Sheet 4 lets you switch between 3 scenarios by changing one dropdown
4. Sheet 5 shows the full revenue forecast chart — it updates when you change Sheet 3
5. Read Sheet 7 for the business interpretation of what the numbers mean</t>
  </si>
  <si>
    <t>Colour Coding</t>
  </si>
  <si>
    <t>🔵 Blue text = hardcoded input (you can change these)
⚫ Black text = calculated by a formula (do not change)
🟢 Green text = formula that pulls from another sheet
🟡 Yellow background = key input cell that you should look at</t>
  </si>
  <si>
    <t>Author &amp; Disclaimer</t>
  </si>
  <si>
    <t>⚠  NOT a real startup. GatiGo is an academic design concept. All figures are hypothetical for learning purposes only.</t>
  </si>
  <si>
    <t>Model by Anjani Kumar Mishra</t>
  </si>
  <si>
    <t>GatiGo — Q1 FY2026 Actuals  |  Starting Point for Forecast</t>
  </si>
  <si>
    <t>Line Item</t>
  </si>
  <si>
    <t>January</t>
  </si>
  <si>
    <t>February</t>
  </si>
  <si>
    <t>March</t>
  </si>
  <si>
    <t>Q1 Total</t>
  </si>
  <si>
    <t>RIDE VOLUME</t>
  </si>
  <si>
    <t>Active Users (estimated)</t>
  </si>
  <si>
    <t>Rides per User per Month</t>
  </si>
  <si>
    <t>Total Rides</t>
  </si>
  <si>
    <t>Avg Fare per Ride (₹)</t>
  </si>
  <si>
    <t>Working Days</t>
  </si>
  <si>
    <t>REVENUE BREAKDOWN</t>
  </si>
  <si>
    <t>Ride Commission Income (net GST, ₹)</t>
  </si>
  <si>
    <t>Intercity Ride Revenue (₹)</t>
  </si>
  <si>
    <t>Corporate Partnership Fees (₹)</t>
  </si>
  <si>
    <t>Premium Subscription Revenue (₹)</t>
  </si>
  <si>
    <t>Advertising Revenue (₹)</t>
  </si>
  <si>
    <t>TOTAL REVENUE (₹)</t>
  </si>
  <si>
    <t>COST SUMMARY</t>
  </si>
  <si>
    <t>Total Cost of Revenue (₹)</t>
  </si>
  <si>
    <t>GROSS PROFIT (₹)</t>
  </si>
  <si>
    <t>Total Operating Expenses (₹)</t>
  </si>
  <si>
    <t>EBITDA (₹)</t>
  </si>
  <si>
    <t>NET PROFIT / LOSS (₹)</t>
  </si>
  <si>
    <t>KEY METRICS</t>
  </si>
  <si>
    <t>Gross Margin %</t>
  </si>
  <si>
    <t>EBITDA Margin %</t>
  </si>
  <si>
    <t>Revenue per Ride (₹)</t>
  </si>
  <si>
    <t>New Users Acquired</t>
  </si>
  <si>
    <t>Premium Subscribers</t>
  </si>
  <si>
    <t>Corporate Clients</t>
  </si>
  <si>
    <t>GatiGo — Revenue Driver Model  |  Q2–Q4 FY2026 Forecast  (Blue cells = change these)</t>
  </si>
  <si>
    <t>Every revenue number below is calculated from the DRIVER INPUTS in yellow. Change a driver → all revenue lines update. This is driver-based forecasting.</t>
  </si>
  <si>
    <t>Driver / Assumption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</si>
  <si>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</si>
  <si>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</si>
  <si>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</si>
  <si>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</si>
  <si>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</si>
  <si>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</si>
  <si>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</si>
  <si>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</si>
  <si>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</si>
  <si>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Full Year
(Q1+Q2+Q3+Q4)</t>
  </si>
  <si>
    <t>A — USER GROWTH DRIVERS  (these drive ride volume)</t>
  </si>
  <si>
    <t>Active Users  (starts from Q1 Mar ending: 7,500)</t>
  </si>
  <si>
    <t>New Users Acquired This Month  (= Users this month − Users last month)</t>
  </si>
  <si>
    <t>B — RIDE VOLUME DRIVERS  (users × rides per user = total rides)</t>
  </si>
  <si>
    <t>Rides per User per Month  (grows slowly as users become regulars)</t>
  </si>
  <si>
    <t>Total Rides per Month  (= Active Users × Rides per User)</t>
  </si>
  <si>
    <t>C — RIDE REVENUE DRIVERS  (fare, commission, GST)</t>
  </si>
  <si>
    <t>Avg Ride Fare (₹)  (Q1 actual: ₹150–155. Slight increase as demand grows)</t>
  </si>
  <si>
    <t>Commission Rate  (GatiGo's cut of each fare — Q1 actual: 15%)</t>
  </si>
  <si>
    <t>GST Rate on Commission  (18% — fixed by Indian tax law, do not change)</t>
  </si>
  <si>
    <t>Ride Commission Income (₹)  [= Rides × Fare × Commission ÷ (1+GST)]</t>
  </si>
  <si>
    <t>D — OTHER REVENUE DRIVERS  (corporate, subscriptions, ads, intercity)</t>
  </si>
  <si>
    <t>Corporate Clients  (Q1 actual: 4/5/6. Growing via sales pipeline)</t>
  </si>
  <si>
    <t>Avg Monthly Contract per Corporate Client (₹)  (Q1: ₹24–28K)</t>
  </si>
  <si>
    <t>TDS Rate (Tax deducted by corporate clients)  (10% — fixed by law)</t>
  </si>
  <si>
    <t>Corporate Revenue (₹)  [= Clients × Contract × (1 − TDS)]</t>
  </si>
  <si>
    <t>Premium Subscribers  (Q1 actual: 280/350/420. Growing via in-app prompt)</t>
  </si>
  <si>
    <t>Premium Subscription Price (₹/month)  (Q1: ₹199 flat)</t>
  </si>
  <si>
    <t>Premium Subscription Revenue (₹)  [= Subscribers × Price]</t>
  </si>
  <si>
    <t>Advertising Revenue (₹)  (tracks active users — grows with platform)</t>
  </si>
  <si>
    <t>Intercity Rides / Month  (Q1 actual: 0/40/80. Launched mid-Feb)</t>
  </si>
  <si>
    <t>Intercity Avg Fare (₹)  (Q1: ₹800. Slight increase expected)</t>
  </si>
  <si>
    <t>Intercity Commission Rate  (Q1: 12%)</t>
  </si>
  <si>
    <t>Intercity Revenue (₹)  [= Intercity Rides × Fare × Commission]</t>
  </si>
  <si>
    <t>TOTAL REVENUE  (sum of all revenue streams)</t>
  </si>
  <si>
    <t>TOTAL REVENUE (₹)  [= Ride + Intercity + Corporate + Premium + Ads]</t>
  </si>
  <si>
    <t>Check: Revenue per Ride (₹)  [= Total Revenue ÷ Total Rides — should be ₹50-80]</t>
  </si>
  <si>
    <t>Month-on-Month Revenue Growth %</t>
  </si>
  <si>
    <t>GatiGo — Scenario Analysis  |  Base / High Growth / Low Growth</t>
  </si>
  <si>
    <t>HOW EACH SCENARIO DIFFERS — Change these inputs in the Revenue Drivers sheet</t>
  </si>
  <si>
    <t>Driver</t>
  </si>
  <si>
    <t>Base Case</t>
  </si>
  <si>
    <t>High Growth</t>
  </si>
  <si>
    <t>Low Growth</t>
  </si>
  <si>
    <t>Unit</t>
  </si>
  <si>
    <t>What this means</t>
  </si>
  <si>
    <t>Monthly User Growth Rate</t>
  </si>
  <si>
    <t>8–9%</t>
  </si>
  <si>
    <t>12–15%</t>
  </si>
  <si>
    <t>4–5%</t>
  </si>
  <si>
    <t>%</t>
  </si>
  <si>
    <t>Higher growth needs more marketing spend</t>
  </si>
  <si>
    <t>0.85–1.0</t>
  </si>
  <si>
    <t>1.0–1.3</t>
  </si>
  <si>
    <t>0.6–0.8</t>
  </si>
  <si>
    <t>/user</t>
  </si>
  <si>
    <t>Frequency improves as app becomes habit</t>
  </si>
  <si>
    <t>Avg Ride Fare (₹)</t>
  </si>
  <si>
    <t>₹156–165</t>
  </si>
  <si>
    <t>₹160–175</t>
  </si>
  <si>
    <t>₹145–155</t>
  </si>
  <si>
    <t>₹</t>
  </si>
  <si>
    <t>Surge pricing vs competitor pressure</t>
  </si>
  <si>
    <t>8–18</t>
  </si>
  <si>
    <t>12–25</t>
  </si>
  <si>
    <t>5–12</t>
  </si>
  <si>
    <t>#</t>
  </si>
  <si>
    <t>Fast vs slow corporate sales pipeline</t>
  </si>
  <si>
    <t>520–1080</t>
  </si>
  <si>
    <t>700–1500</t>
  </si>
  <si>
    <t>300–700</t>
  </si>
  <si>
    <t>In-app conversion rate varies</t>
  </si>
  <si>
    <t>Commission Rate</t>
  </si>
  <si>
    <t>15–16%</t>
  </si>
  <si>
    <t>14–15%</t>
  </si>
  <si>
    <t>Base stays, High can push slightly, Low pressure</t>
  </si>
  <si>
    <t>Marketing Spend</t>
  </si>
  <si>
    <t>Base</t>
  </si>
  <si>
    <t>+30%</t>
  </si>
  <si>
    <t>-25%</t>
  </si>
  <si>
    <t>High growth needs more ad spend</t>
  </si>
  <si>
    <t>Advertising Revenue</t>
  </si>
  <si>
    <t>₹24–50K</t>
  </si>
  <si>
    <t>₹35–70K</t>
  </si>
  <si>
    <t>₹15–30K</t>
  </si>
  <si>
    <t>More users = more ad impressions</t>
  </si>
  <si>
    <t>BASE CASE  (most likely outcome)</t>
  </si>
  <si>
    <t>This matches what the Revenue Drivers sheet shows. Steady user growth of 8–9%/month, rides per user improving slowly, corporate clients growing via BD hire. Most realistic scenario.</t>
  </si>
  <si>
    <t>Line</t>
  </si>
  <si>
    <t>Q2 Total</t>
  </si>
  <si>
    <t>Q3 Total</t>
  </si>
  <si>
    <t>Q4 Total</t>
  </si>
  <si>
    <t>Full Year</t>
  </si>
  <si>
    <t>Active Users</t>
  </si>
  <si>
    <t>Ride Commission Rev (₹)</t>
  </si>
  <si>
    <t>Intercity Revenue (₹)</t>
  </si>
  <si>
    <t>Corporate Revenue (₹)</t>
  </si>
  <si>
    <t>Premium Revenue (₹)</t>
  </si>
  <si>
    <t>HIGH GROWTH  (if marketing spend increases +30%)</t>
  </si>
  <si>
    <t>Users grow 12–15%/month due to aggressive marketing. Rides per user improves faster as app becomes the default choice. Corporate pipeline converts faster. Requires ₹30K+ extra marketing/month.</t>
  </si>
  <si>
    <t>LOW GROWTH  (if competition increases or demand falls)</t>
  </si>
  <si>
    <t>User growth slows to 4–5%/month due to competitor pressure from QuickRide. Rides per user stays flat. Corporate onboarding delays. This scenario may require additional funding to survive.</t>
  </si>
  <si>
    <t>GatiGo — Full Year Revenue Forecast  |  FY2026  (Jan–Dec)</t>
  </si>
  <si>
    <t>Jan</t>
  </si>
  <si>
    <t>Feb</t>
  </si>
  <si>
    <t>Mar</t>
  </si>
  <si>
    <t>Q1</t>
  </si>
  <si>
    <t>Q2</t>
  </si>
  <si>
    <t>Q3</t>
  </si>
  <si>
    <t>Q4</t>
  </si>
  <si>
    <t>REVENUE STREAMS</t>
  </si>
  <si>
    <t>Ride Commission (₹)</t>
  </si>
  <si>
    <t>Corporate Fees (₹)</t>
  </si>
  <si>
    <t>Premium Subs (₹)</t>
  </si>
  <si>
    <t>Advertising (₹)</t>
  </si>
  <si>
    <t>GROWTH METRICS</t>
  </si>
  <si>
    <t>Revenue MoM Growth %</t>
  </si>
  <si>
    <t>"-"</t>
  </si>
  <si>
    <t>GatiGo — Sensitivity Analysis  |  Which Drivers Matter Most?</t>
  </si>
  <si>
    <t>This table shows: if we change one driver by a fixed amount, how much does Q2 revenue change? This tells us which drivers to focus on.</t>
  </si>
  <si>
    <t>Driver Being Tested</t>
  </si>
  <si>
    <t>-20% change</t>
  </si>
  <si>
    <t>-10% change</t>
  </si>
  <si>
    <t>Base (no change)</t>
  </si>
  <si>
    <t>+10% change</t>
  </si>
  <si>
    <t>+20% change</t>
  </si>
  <si>
    <t>Sensitivity — which matters most?</t>
  </si>
  <si>
    <t>Base Q2 Revenue (from Revenue Drivers sheet)</t>
  </si>
  <si>
    <t>HOW MUCH DOES Q2 REVENUE CHANGE IF WE ADJUST ONE DRIVER?</t>
  </si>
  <si>
    <t>Number of Active Users</t>
  </si>
  <si>
    <t>$D$4</t>
  </si>
  <si>
    <t>MOST IMPORTANT. Users drive rides, which drive 2 revenue streams (commission + intercity). A 10% user increase raises Q2 revenue by roughly ₹1.1L. Focus on user acquisition first.</t>
  </si>
  <si>
    <t>VERY IMPORTANT. More rides from existing users = more commission with zero extra acquisition cost. Target: push average from 0.85 to 1.0+ via push notifications and habit loops.</t>
  </si>
  <si>
    <t>MODERATE. A ₹10 fare increase (6%) raises revenue by ₹0.45L/Q2. Risky — users may switch to cheaper options. Better to grow volume than increase fare aggressively.</t>
  </si>
  <si>
    <t>Commission Rate (%)</t>
  </si>
  <si>
    <t>MODERATE. Every 1% increase in commission = +₹0.5L/Q2. But drivers may resist if rate goes above 18%. Current 15% is competitive. Small increases (to 16%) are feasible.</t>
  </si>
  <si>
    <t>Number of Corporate Clients</t>
  </si>
  <si>
    <t>HIGH IMPACT, LOW COST. Each new client = ₹26K+/month at ~90% margin. A BD hire (₹75K/month) paying for itself with just 3 new clients. Best ROI lever.</t>
  </si>
  <si>
    <t>MODERATE. Each subscriber = ₹199/month, very low cost to serve. Growing from 520 to 600 in Apr adds ₹16K to Q2. Focus on in-app upsell conversion (currently 3.2% → target 5%).</t>
  </si>
  <si>
    <t>LOW IMPACT. Ad revenue is small and grows automatically with users. No specific action needed — it follows the user growth trend.</t>
  </si>
  <si>
    <t>COST LEVER. Cutting marketing by 10% saves ₹40K/Q2 but may reduce user growth by ~15%, losing ₹1.1L revenue. Marketing ROI is positive — do not cut in the growth phase.</t>
  </si>
  <si>
    <t>GatiGo — Forecast Insights &amp; Recommendations  |  What the numbers tell us</t>
  </si>
  <si>
    <t>This page explains what the revenue forecast means in simple business terms, and what GatiGo should do next based on the numbers.</t>
  </si>
  <si>
    <t>KEY INSIGHTS — What the forecast numbers are telling us</t>
  </si>
  <si>
    <t>📊</t>
  </si>
  <si>
    <t>Revenue is growing — but slowly in Q1</t>
  </si>
  <si>
    <t>Q1 revenue grew from ₹2.49L (Jan) to ₹3.82L (Mar) — a 53% increase in 3 months. That sounds good, but the company still lost ₹14.94L in Q1 because fixed costs (salaries, cloud, marketing = ₹4.63–5.17L/month) are much larger than the gross profit. This is normal for a new platform — you invest first, profit comes later.</t>
  </si>
  <si>
    <t>🔑</t>
  </si>
  <si>
    <t>Revenue depends heavily on user acquisition</t>
  </si>
  <si>
    <t>The sensitivity analysis shows that a 10% change in active users moves Q2 revenue by about 9.5%. No other single driver has that much impact. This means marketing spend (which grows users) is not a cost — it is an investment. Every ₹1 spent on digital ads that brings in a new user with 12-month LTV of ~₹2,400 is worth it, as long as CAC stays below ₹200.</t>
  </si>
  <si>
    <t>🏢</t>
  </si>
  <si>
    <t>Corporate partnerships are the best revenue source</t>
  </si>
  <si>
    <t>Corporate clients contribute ~37% of total revenue at ~90% gross margin (very low serving cost). Each new corporate client adds ₹26–35K/month of high-margin, recurring revenue. The forecast assumes corporate clients grow from 6 (Mar actual) to 18 (Dec forecast). This requires the BD hire made in March to convert the 3 pipeline deals currently in discussion.</t>
  </si>
  <si>
    <t>📈</t>
  </si>
  <si>
    <t>Intercity revenue could be a breakout stream</t>
  </si>
  <si>
    <t>Intercity launched mid-Feb and reached 80 rides in March. The forecast projects 440 rides by December. Each intercity ride earns ₹96 commission (₹800 fare × 12%) vs ₹25 for a city ride. If intercity volumes hit 500+ rides/month, it would add ₹48K revenue/month — worth prioritising.</t>
  </si>
  <si>
    <t>⚠️</t>
  </si>
  <si>
    <t>The model may be too optimistic — always have a backup plan</t>
  </si>
  <si>
    <t>The base case forecast assumes user growth of 8–9%/month. In Q1, actual growth was slower in some months due to launch challenges. Real-world growth is often lumpy. Always stress-test with the Low Growth scenario (Sheet 4) to ensure the company has enough cash. At the Low Growth scenario, full-year revenue is roughly ₹35L vs ₹55L in the Base Case.</t>
  </si>
  <si>
    <t>💰</t>
  </si>
  <si>
    <t>When will GatiGo break even?</t>
  </si>
  <si>
    <t>Break-even requires EBITDA = 0. In Q1, EBITDA was ₹(14.46L) — a big gap. The model projects break-even when: Total Rides ≥ 390/day AND fixed costs ≤ ₹5L/month. At the base-case growth rate, this is achievable in Q3 FY2026 (Jul–Sep) when rides should reach 350–450/day and corporate revenue doubles. Still requires careful cost management.</t>
  </si>
  <si>
    <t>RECOMMENDATIONS — What to do next, ranked by impact</t>
  </si>
  <si>
    <t>#1</t>
  </si>
  <si>
    <t>Prioritise corporate client closure  |  Revenue | 30 days</t>
  </si>
  <si>
    <t>3 corporate deals are in the pipeline. Assign the new BD hire as sole owner of these deals. Offer 30-day free trial to remove procurement friction. Each deal = ₹26K+/month at 90% margin. This alone could close ₹78K of the Q2 revenue gap.</t>
  </si>
  <si>
    <t>#2</t>
  </si>
  <si>
    <t>Fix the cloud cost model  |  Cost | 14 days</t>
  </si>
  <si>
    <t>Cloud hosting was budgeted flat at ₹30K/month but actually scaled to ₹42K. For future forecasts, model it as ₹30K base + ₹0.50 per ride. This prevents recurring budget misses and gives a more accurate picture of unit economics.</t>
  </si>
  <si>
    <t>#3</t>
  </si>
  <si>
    <t>Improve rides-per-user from 0.8 to 1.0  |  Engagement | 60 days</t>
  </si>
  <si>
    <t>Existing users riding more often is pure margin — no extra acquisition cost. Implement: (a) weekly ride reminders via push notification, (b) loyalty milestone (₹50 credit after 10 rides/month), (c) commute scheduling feature. Each +0.1 rides/user adds ~₹85K annual revenue at current user base.</t>
  </si>
  <si>
    <t>#4</t>
  </si>
  <si>
    <t>Launch intercity aggressively  |  Revenue | 45 days</t>
  </si>
  <si>
    <t>Intercity earns ₹96/ride vs ₹25/ride for city rides — 3.8x better economics. Add 3 new city pairs (Hyd–Bangalore, Hyd–Vijayawada, Hyd–Warangal). Target 250 intercity rides/month by end Q2. This adds ₹24K revenue/month.</t>
  </si>
  <si>
    <t>#5</t>
  </si>
  <si>
    <t>Don't cut marketing in Q2  |  Strategy | Ongoing</t>
  </si>
  <si>
    <t>Marketing ROI is strongly positive (LTV ₹2,400 vs CAC ₹111 in March). Cutting marketing to save ₹40K/month would cost more in lost revenue (₹1.1L+). Maintain or slightly increase digital spend; shift more to offline campus events where CAC is only ₹47 — 76% cheaper than digital.</t>
  </si>
  <si>
    <t xml:space="preserve">
  Total Rides  =  Active Users  ×  Rides per User per Month
  Ride Revenue  =  Total Rides  ×  Avg Fare  ×  Commission Rate
  Change any driver (users, fare, commission) → revenue updates automatically. This is how real FP&amp;A teams forecast.</t>
  </si>
  <si>
    <t>NOT a real startup. GatiGo is an academic design concept. All figures are hypothetical for learning purposes only.</t>
  </si>
  <si>
    <t>Model by Anjani Kumar Mishra
Portfolio: https://inakm.github.io   
Project: https://inakm.github.io/page/projects/gatigo.html
This is NOT a real startup. GatiGo is a design concept created for an academic entrepreneurship project. All financial figures are completely made up for learning purposes only.</t>
  </si>
  <si>
    <t>These numbers are from the Actual P&amp;L. They are the base (starting point) for all forecasts in this file.</t>
  </si>
  <si>
    <t>Monthly User Growth Rate  (driven by marketing)</t>
  </si>
  <si>
    <t>Three scenarios based on different business outcomes. All numbers link to 'Revenue Drivers' sheet — change the drivers there to update scenarios.</t>
  </si>
  <si>
    <t>GatiGo is an academic design concept. All figures are hypothetical for learning purposes only.</t>
  </si>
  <si>
    <t>Jan–Mar = Q1 Actuals. Apr–Dec = Forecast from Revenue Drivers sheet.</t>
  </si>
  <si>
    <t>KEY INSIGHT: Revenue is most sensitive to USER GROWTH and CORPORATE CLIENTS. Marketing spend (which drives users) has the highest ROI. Focus 70% of effort on user acquisition and corporate sales — everything else follows.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</si>
</sst>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,##0;\(#,##0\);\-"/>
    <numFmt numFmtId="165" formatCode="#,##0.0;\(#,##0.0\);\-"/>
    <numFmt numFmtId="166" formatCode="\₹#,##0;&quot;(₹&quot;#,##0\);\-"/>
    <numFmt numFmtId="167" formatCode="0.0%;\(0.0%\);\-"/>
  </numFmts>
  <fonts count="21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i/>
      <sz val="9"/>
      <color rgb="FF455A64"/>
      <name val="Arial"/>
      <charset val="1"/>
    </font>
    <font>
      <b/>
      <sz val="10"/>
      <color rgb="FFFFFFFF"/>
      <name val="Arial"/>
      <charset val="1"/>
    </font>
    <font>
      <sz val="9"/>
      <color rgb="FF37474F"/>
      <name val="Arial"/>
      <charset val="1"/>
    </font>
    <font>
      <i/>
      <sz val="8"/>
      <color rgb="FF888888"/>
      <name val="Arial"/>
      <charset val="1"/>
    </font>
    <font>
      <b/>
      <sz val="12"/>
      <color rgb="FFFFFFFF"/>
      <name val="Arial"/>
      <charset val="1"/>
    </font>
    <font>
      <b/>
      <sz val="9"/>
      <color rgb="FFFFFFFF"/>
      <name val="Arial"/>
      <charset val="1"/>
    </font>
    <font>
      <sz val="9"/>
      <color rgb="FF455A64"/>
      <name val="Arial"/>
      <charset val="1"/>
    </font>
    <font>
      <sz val="9"/>
      <color rgb="FF000000"/>
      <name val="Arial"/>
      <charset val="1"/>
    </font>
    <font>
      <b/>
      <sz val="9"/>
      <color rgb="FF0D1B2A"/>
      <name val="Arial"/>
      <charset val="1"/>
    </font>
    <font>
      <b/>
      <sz val="9"/>
      <color rgb="FF000000"/>
      <name val="Arial"/>
      <charset val="1"/>
    </font>
    <font>
      <b/>
      <sz val="9"/>
      <color rgb="FF0000FF"/>
      <name val="Arial"/>
      <charset val="1"/>
    </font>
    <font>
      <b/>
      <sz val="9"/>
      <color rgb="FF2E7D32"/>
      <name val="Arial"/>
      <charset val="1"/>
    </font>
    <font>
      <i/>
      <sz val="8"/>
      <color rgb="FF455A64"/>
      <name val="Arial"/>
      <charset val="1"/>
    </font>
    <font>
      <b/>
      <sz val="11"/>
      <color rgb="FFFFFFFF"/>
      <name val="Arial"/>
      <charset val="1"/>
    </font>
    <font>
      <sz val="9"/>
      <color rgb="FF1B6B1B"/>
      <name val="Arial"/>
      <charset val="1"/>
    </font>
    <font>
      <b/>
      <sz val="9"/>
      <color rgb="FF1B6B1B"/>
      <name val="Arial"/>
      <charset val="1"/>
    </font>
    <font>
      <b/>
      <sz val="10"/>
      <color rgb="FF0D1B2A"/>
      <name val="Arial"/>
      <charset val="1"/>
    </font>
    <font>
      <sz val="12"/>
      <name val="Arial"/>
      <charset val="1"/>
    </font>
    <font>
      <i/>
      <sz val="9"/>
      <color rgb="FF37474F"/>
      <name val="Arial"/>
      <charset val="1"/>
    </font>
  </fonts>
  <fills count="19">
    <fill>
      <patternFill patternType="none"/>
    </fill>
    <fill>
      <patternFill patternType="gray125"/>
    </fill>
    <fill>
      <patternFill patternType="solid">
        <fgColor rgb="FF0D1B2A"/>
        <bgColor rgb="FF000000"/>
      </patternFill>
    </fill>
    <fill>
      <patternFill patternType="solid">
        <fgColor rgb="FFF5F5F5"/>
        <bgColor rgb="FFF9F9F9"/>
      </patternFill>
    </fill>
    <fill>
      <patternFill patternType="solid">
        <fgColor rgb="FF283593"/>
        <bgColor rgb="FF37474F"/>
      </patternFill>
    </fill>
    <fill>
      <patternFill patternType="solid">
        <fgColor rgb="FFFAFAFA"/>
        <bgColor rgb="FFF9F9F9"/>
      </patternFill>
    </fill>
    <fill>
      <patternFill patternType="solid">
        <fgColor rgb="FFC62828"/>
        <bgColor rgb="FF9D3E3B"/>
      </patternFill>
    </fill>
    <fill>
      <patternFill patternType="solid">
        <fgColor rgb="FFFFF3E0"/>
        <bgColor rgb="FFFFEBEE"/>
      </patternFill>
    </fill>
    <fill>
      <patternFill patternType="solid">
        <fgColor rgb="FF37474F"/>
        <bgColor rgb="FF455A64"/>
      </patternFill>
    </fill>
    <fill>
      <patternFill patternType="solid">
        <fgColor rgb="FFE3F2FD"/>
        <bgColor rgb="FFE8F5E9"/>
      </patternFill>
    </fill>
    <fill>
      <patternFill patternType="solid">
        <fgColor rgb="FFFFEBEE"/>
        <bgColor rgb="FFFFF3E0"/>
      </patternFill>
    </fill>
    <fill>
      <patternFill patternType="solid">
        <fgColor rgb="FF1565C0"/>
        <bgColor rgb="FF00838F"/>
      </patternFill>
    </fill>
    <fill>
      <patternFill patternType="solid">
        <fgColor rgb="FFFFFDE7"/>
        <bgColor rgb="FFFAFAFA"/>
      </patternFill>
    </fill>
    <fill>
      <patternFill patternType="solid">
        <fgColor rgb="FF00838F"/>
        <bgColor rgb="FF1565C0"/>
      </patternFill>
    </fill>
    <fill>
      <patternFill patternType="solid">
        <fgColor rgb="FF2E7D32"/>
        <bgColor rgb="FF1B6B1B"/>
      </patternFill>
    </fill>
    <fill>
      <patternFill patternType="solid">
        <fgColor rgb="FFE8F5E9"/>
        <bgColor rgb="FFE3F2FD"/>
      </patternFill>
    </fill>
    <fill>
      <patternFill patternType="solid">
        <fgColor rgb="FF4A148C"/>
        <bgColor rgb="FF283593"/>
      </patternFill>
    </fill>
    <fill>
      <patternFill patternType="solid">
        <fgColor rgb="FFE65100"/>
        <bgColor rgb="FFBE4B48"/>
      </patternFill>
    </fill>
    <fill>
      <patternFill patternType="solid">
        <fgColor rgb="FFF3E5F5"/>
        <bgColor rgb="FFFFEBEE"/>
      </patternFill>
    </fill>
  </fills>
  <borders count="4">
    <border>
      <left/>
      <right/>
      <top/>
      <bottom/>
      <diagonal/>
    </border>
    <border>
      <left style="thin">
        <color rgb="FF90A4AE"/>
      </left>
      <right style="thin">
        <color rgb="FF90A4AE"/>
      </right>
      <top style="thin">
        <color rgb="FF90A4AE"/>
      </top>
      <bottom style="thin">
        <color rgb="FF90A4AE"/>
      </bottom>
      <diagonal/>
    </border>
    <border>
      <left style="thin">
        <color rgb="FF90A4AE"/>
      </left>
      <right/>
      <top style="thin">
        <color rgb="FF90A4AE"/>
      </top>
      <bottom style="thin">
        <color rgb="FF90A4AE"/>
      </bottom>
      <diagonal/>
    </border>
    <border>
      <left style="thin">
        <color rgb="FF90A4AE"/>
      </left>
      <right style="thin">
        <color rgb="FF90A4AE"/>
      </right>
      <top style="thin">
        <color rgb="FF90A4AE"/>
      </top>
      <bottom style="medium">
        <color rgb="FF0D1B2A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0" fillId="3" borderId="1" xfId="0" applyFill="1" applyBorder="1"/>
    <xf numFmtId="0" fontId="4" fillId="5" borderId="1" xfId="0" applyFont="1" applyFill="1" applyBorder="1" applyAlignment="1">
      <alignment horizontal="left" vertical="top" wrapText="1"/>
    </xf>
    <xf numFmtId="0" fontId="4" fillId="7" borderId="1" xfId="0" applyFont="1" applyFill="1" applyBorder="1" applyAlignment="1">
      <alignment horizontal="left" vertical="top" wrapText="1"/>
    </xf>
    <xf numFmtId="0" fontId="5" fillId="3" borderId="0" xfId="0" applyFont="1" applyFill="1" applyAlignment="1">
      <alignment horizontal="left" vertical="center"/>
    </xf>
    <xf numFmtId="0" fontId="7" fillId="2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left" vertical="center"/>
    </xf>
    <xf numFmtId="164" fontId="9" fillId="5" borderId="1" xfId="0" applyNumberFormat="1" applyFont="1" applyFill="1" applyBorder="1" applyAlignment="1">
      <alignment horizontal="right" vertical="center"/>
    </xf>
    <xf numFmtId="165" fontId="9" fillId="5" borderId="1" xfId="0" applyNumberFormat="1" applyFont="1" applyFill="1" applyBorder="1" applyAlignment="1">
      <alignment horizontal="right" vertical="center"/>
    </xf>
    <xf numFmtId="0" fontId="10" fillId="9" borderId="1" xfId="0" applyFont="1" applyFill="1" applyBorder="1" applyAlignment="1">
      <alignment horizontal="left" vertical="center"/>
    </xf>
    <xf numFmtId="164" fontId="11" fillId="9" borderId="3" xfId="0" applyNumberFormat="1" applyFont="1" applyFill="1" applyBorder="1" applyAlignment="1">
      <alignment horizontal="right" vertical="center"/>
    </xf>
    <xf numFmtId="166" fontId="9" fillId="5" borderId="1" xfId="0" applyNumberFormat="1" applyFont="1" applyFill="1" applyBorder="1" applyAlignment="1">
      <alignment horizontal="right" vertical="center"/>
    </xf>
    <xf numFmtId="166" fontId="11" fillId="9" borderId="3" xfId="0" applyNumberFormat="1" applyFont="1" applyFill="1" applyBorder="1" applyAlignment="1">
      <alignment horizontal="right" vertical="center"/>
    </xf>
    <xf numFmtId="0" fontId="8" fillId="10" borderId="1" xfId="0" applyFont="1" applyFill="1" applyBorder="1" applyAlignment="1">
      <alignment horizontal="left" vertical="center"/>
    </xf>
    <xf numFmtId="166" fontId="9" fillId="10" borderId="1" xfId="0" applyNumberFormat="1" applyFont="1" applyFill="1" applyBorder="1" applyAlignment="1">
      <alignment horizontal="right" vertical="center"/>
    </xf>
    <xf numFmtId="167" fontId="9" fillId="5" borderId="1" xfId="0" applyNumberFormat="1" applyFont="1" applyFill="1" applyBorder="1" applyAlignment="1">
      <alignment horizontal="right" vertical="center"/>
    </xf>
    <xf numFmtId="0" fontId="9" fillId="5" borderId="1" xfId="0" applyFont="1" applyFill="1" applyBorder="1" applyAlignment="1">
      <alignment horizontal="left" vertical="center"/>
    </xf>
    <xf numFmtId="164" fontId="12" fillId="12" borderId="1" xfId="0" applyNumberFormat="1" applyFont="1" applyFill="1" applyBorder="1" applyAlignment="1">
      <alignment horizontal="right" vertical="center"/>
    </xf>
    <xf numFmtId="0" fontId="8" fillId="12" borderId="1" xfId="0" applyFont="1" applyFill="1" applyBorder="1" applyAlignment="1">
      <alignment horizontal="left" vertical="center"/>
    </xf>
    <xf numFmtId="167" fontId="12" fillId="12" borderId="1" xfId="0" applyNumberFormat="1" applyFont="1" applyFill="1" applyBorder="1" applyAlignment="1">
      <alignment horizontal="right" vertical="center"/>
    </xf>
    <xf numFmtId="164" fontId="11" fillId="9" borderId="1" xfId="0" applyNumberFormat="1" applyFont="1" applyFill="1" applyBorder="1" applyAlignment="1">
      <alignment horizontal="right" vertical="center"/>
    </xf>
    <xf numFmtId="0" fontId="9" fillId="12" borderId="1" xfId="0" applyFont="1" applyFill="1" applyBorder="1" applyAlignment="1">
      <alignment horizontal="left" vertical="center"/>
    </xf>
    <xf numFmtId="165" fontId="12" fillId="12" borderId="1" xfId="0" applyNumberFormat="1" applyFont="1" applyFill="1" applyBorder="1" applyAlignment="1">
      <alignment horizontal="right" vertical="center"/>
    </xf>
    <xf numFmtId="166" fontId="12" fillId="12" borderId="1" xfId="0" applyNumberFormat="1" applyFont="1" applyFill="1" applyBorder="1" applyAlignment="1">
      <alignment horizontal="right" vertical="center"/>
    </xf>
    <xf numFmtId="0" fontId="13" fillId="15" borderId="1" xfId="0" applyFont="1" applyFill="1" applyBorder="1" applyAlignment="1">
      <alignment horizontal="left" vertical="center"/>
    </xf>
    <xf numFmtId="166" fontId="11" fillId="15" borderId="3" xfId="0" applyNumberFormat="1" applyFont="1" applyFill="1" applyBorder="1" applyAlignment="1">
      <alignment horizontal="right" vertical="center"/>
    </xf>
    <xf numFmtId="166" fontId="9" fillId="3" borderId="1" xfId="0" applyNumberFormat="1" applyFont="1" applyFill="1" applyBorder="1" applyAlignment="1">
      <alignment horizontal="right" vertical="center"/>
    </xf>
    <xf numFmtId="166" fontId="10" fillId="9" borderId="3" xfId="0" applyNumberFormat="1" applyFont="1" applyFill="1" applyBorder="1" applyAlignment="1">
      <alignment horizontal="right" vertical="center"/>
    </xf>
    <xf numFmtId="0" fontId="8" fillId="3" borderId="1" xfId="0" applyFont="1" applyFill="1" applyBorder="1" applyAlignment="1">
      <alignment horizontal="left" vertical="center"/>
    </xf>
    <xf numFmtId="165" fontId="9" fillId="3" borderId="1" xfId="0" applyNumberFormat="1" applyFont="1" applyFill="1" applyBorder="1" applyAlignment="1">
      <alignment horizontal="right" vertical="center"/>
    </xf>
    <xf numFmtId="167" fontId="9" fillId="3" borderId="1" xfId="0" applyNumberFormat="1" applyFont="1" applyFill="1" applyBorder="1" applyAlignment="1">
      <alignment horizontal="right" vertical="center"/>
    </xf>
    <xf numFmtId="0" fontId="7" fillId="8" borderId="1" xfId="0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center" vertical="center"/>
    </xf>
    <xf numFmtId="0" fontId="7" fillId="14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/>
    </xf>
    <xf numFmtId="0" fontId="12" fillId="15" borderId="1" xfId="0" applyFont="1" applyFill="1" applyBorder="1" applyAlignment="1">
      <alignment horizontal="center"/>
    </xf>
    <xf numFmtId="0" fontId="12" fillId="10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16" borderId="1" xfId="0" applyFont="1" applyFill="1" applyBorder="1" applyAlignment="1">
      <alignment horizontal="center" vertical="center"/>
    </xf>
    <xf numFmtId="164" fontId="9" fillId="3" borderId="1" xfId="0" applyNumberFormat="1" applyFont="1" applyFill="1" applyBorder="1" applyAlignment="1">
      <alignment horizontal="right"/>
    </xf>
    <xf numFmtId="164" fontId="9" fillId="9" borderId="1" xfId="0" applyNumberFormat="1" applyFont="1" applyFill="1" applyBorder="1" applyAlignment="1">
      <alignment horizontal="right"/>
    </xf>
    <xf numFmtId="164" fontId="16" fillId="5" borderId="1" xfId="0" applyNumberFormat="1" applyFont="1" applyFill="1" applyBorder="1" applyAlignment="1">
      <alignment horizontal="right"/>
    </xf>
    <xf numFmtId="0" fontId="10" fillId="9" borderId="3" xfId="0" applyFont="1" applyFill="1" applyBorder="1" applyAlignment="1">
      <alignment horizontal="left" vertical="center"/>
    </xf>
    <xf numFmtId="164" fontId="11" fillId="9" borderId="3" xfId="0" applyNumberFormat="1" applyFont="1" applyFill="1" applyBorder="1" applyAlignment="1">
      <alignment horizontal="right"/>
    </xf>
    <xf numFmtId="164" fontId="17" fillId="9" borderId="3" xfId="0" applyNumberFormat="1" applyFont="1" applyFill="1" applyBorder="1" applyAlignment="1">
      <alignment horizontal="right"/>
    </xf>
    <xf numFmtId="166" fontId="9" fillId="3" borderId="1" xfId="0" applyNumberFormat="1" applyFont="1" applyFill="1" applyBorder="1" applyAlignment="1">
      <alignment horizontal="right"/>
    </xf>
    <xf numFmtId="166" fontId="9" fillId="9" borderId="1" xfId="0" applyNumberFormat="1" applyFont="1" applyFill="1" applyBorder="1" applyAlignment="1">
      <alignment horizontal="right"/>
    </xf>
    <xf numFmtId="166" fontId="16" fillId="5" borderId="1" xfId="0" applyNumberFormat="1" applyFont="1" applyFill="1" applyBorder="1" applyAlignment="1">
      <alignment horizontal="right"/>
    </xf>
    <xf numFmtId="166" fontId="11" fillId="9" borderId="3" xfId="0" applyNumberFormat="1" applyFont="1" applyFill="1" applyBorder="1" applyAlignment="1">
      <alignment horizontal="right"/>
    </xf>
    <xf numFmtId="166" fontId="17" fillId="9" borderId="3" xfId="0" applyNumberFormat="1" applyFont="1" applyFill="1" applyBorder="1" applyAlignment="1">
      <alignment horizontal="right"/>
    </xf>
    <xf numFmtId="167" fontId="9" fillId="3" borderId="1" xfId="0" applyNumberFormat="1" applyFont="1" applyFill="1" applyBorder="1" applyAlignment="1">
      <alignment horizontal="right"/>
    </xf>
    <xf numFmtId="167" fontId="16" fillId="3" borderId="1" xfId="0" applyNumberFormat="1" applyFont="1" applyFill="1" applyBorder="1" applyAlignment="1">
      <alignment horizontal="right"/>
    </xf>
    <xf numFmtId="0" fontId="7" fillId="6" borderId="1" xfId="0" applyFont="1" applyFill="1" applyBorder="1" applyAlignment="1">
      <alignment horizontal="center" vertical="center" wrapText="1"/>
    </xf>
    <xf numFmtId="0" fontId="7" fillId="17" borderId="1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166" fontId="17" fillId="9" borderId="1" xfId="0" applyNumberFormat="1" applyFont="1" applyFill="1" applyBorder="1" applyAlignment="1">
      <alignment horizontal="right"/>
    </xf>
    <xf numFmtId="166" fontId="9" fillId="10" borderId="1" xfId="0" applyNumberFormat="1" applyFont="1" applyFill="1" applyBorder="1" applyAlignment="1">
      <alignment horizontal="right"/>
    </xf>
    <xf numFmtId="166" fontId="9" fillId="7" borderId="1" xfId="0" applyNumberFormat="1" applyFont="1" applyFill="1" applyBorder="1" applyAlignment="1">
      <alignment horizontal="right"/>
    </xf>
    <xf numFmtId="166" fontId="9" fillId="15" borderId="1" xfId="0" applyNumberFormat="1" applyFont="1" applyFill="1" applyBorder="1" applyAlignment="1">
      <alignment horizontal="right"/>
    </xf>
    <xf numFmtId="0" fontId="14" fillId="18" borderId="1" xfId="0" applyFont="1" applyFill="1" applyBorder="1" applyAlignment="1">
      <alignment horizontal="left" vertical="center" wrapText="1"/>
    </xf>
    <xf numFmtId="0" fontId="14" fillId="12" borderId="1" xfId="0" applyFont="1" applyFill="1" applyBorder="1" applyAlignment="1">
      <alignment horizontal="left" vertical="center" wrapText="1"/>
    </xf>
    <xf numFmtId="0" fontId="14" fillId="5" borderId="1" xfId="0" applyFont="1" applyFill="1" applyBorder="1" applyAlignment="1">
      <alignment horizontal="left" vertical="center" wrapText="1"/>
    </xf>
    <xf numFmtId="0" fontId="19" fillId="5" borderId="1" xfId="0" applyFont="1" applyFill="1" applyBorder="1"/>
    <xf numFmtId="0" fontId="18" fillId="9" borderId="1" xfId="0" applyFont="1" applyFill="1" applyBorder="1" applyAlignment="1">
      <alignment horizontal="left" vertical="center" wrapText="1"/>
    </xf>
    <xf numFmtId="0" fontId="0" fillId="5" borderId="1" xfId="0" applyFill="1" applyBorder="1"/>
    <xf numFmtId="0" fontId="20" fillId="5" borderId="1" xfId="0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center"/>
    </xf>
    <xf numFmtId="0" fontId="18" fillId="15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top" wrapText="1"/>
    </xf>
    <xf numFmtId="0" fontId="3" fillId="6" borderId="1" xfId="0" applyFont="1" applyFill="1" applyBorder="1" applyAlignment="1">
      <alignment horizontal="center" vertical="top" wrapText="1"/>
    </xf>
    <xf numFmtId="0" fontId="1" fillId="2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right" vertical="center"/>
    </xf>
    <xf numFmtId="0" fontId="7" fillId="8" borderId="0" xfId="0" applyFont="1" applyFill="1" applyBorder="1" applyAlignment="1">
      <alignment horizontal="left" vertical="center"/>
    </xf>
    <xf numFmtId="0" fontId="5" fillId="3" borderId="0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7" fillId="14" borderId="0" xfId="0" applyFont="1" applyFill="1" applyBorder="1" applyAlignment="1">
      <alignment horizontal="left" vertical="center"/>
    </xf>
    <xf numFmtId="0" fontId="7" fillId="2" borderId="0" xfId="0" applyFont="1" applyFill="1" applyBorder="1" applyAlignment="1">
      <alignment horizontal="left" vertical="center"/>
    </xf>
    <xf numFmtId="0" fontId="6" fillId="2" borderId="0" xfId="0" applyFont="1" applyFill="1" applyBorder="1" applyAlignment="1">
      <alignment horizontal="center" vertical="center"/>
    </xf>
    <xf numFmtId="0" fontId="7" fillId="11" borderId="0" xfId="0" applyFont="1" applyFill="1" applyBorder="1" applyAlignment="1">
      <alignment horizontal="left" vertical="center"/>
    </xf>
    <xf numFmtId="0" fontId="7" fillId="13" borderId="0" xfId="0" applyFont="1" applyFill="1" applyBorder="1" applyAlignment="1">
      <alignment horizontal="left" vertical="center"/>
    </xf>
    <xf numFmtId="0" fontId="7" fillId="4" borderId="0" xfId="0" applyFont="1" applyFill="1" applyBorder="1" applyAlignment="1">
      <alignment horizontal="left" vertical="center"/>
    </xf>
    <xf numFmtId="0" fontId="15" fillId="6" borderId="0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 wrapText="1"/>
    </xf>
    <xf numFmtId="0" fontId="14" fillId="5" borderId="2" xfId="0" applyFont="1" applyFill="1" applyBorder="1" applyAlignment="1">
      <alignment horizontal="left" vertical="center" wrapText="1"/>
    </xf>
    <xf numFmtId="0" fontId="15" fillId="13" borderId="0" xfId="0" applyFont="1" applyFill="1" applyBorder="1" applyAlignment="1">
      <alignment horizontal="center" vertical="center"/>
    </xf>
    <xf numFmtId="0" fontId="15" fillId="14" borderId="0" xfId="0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center" vertical="center"/>
    </xf>
    <xf numFmtId="0" fontId="6" fillId="16" borderId="0" xfId="0" applyFont="1" applyFill="1" applyBorder="1" applyAlignment="1">
      <alignment horizontal="center" vertical="center"/>
    </xf>
    <xf numFmtId="0" fontId="18" fillId="9" borderId="2" xfId="0" applyFont="1" applyFill="1" applyBorder="1" applyAlignment="1">
      <alignment horizontal="left" vertical="center" wrapText="1"/>
    </xf>
    <xf numFmtId="0" fontId="0" fillId="0" borderId="0" xfId="0" applyBorder="1"/>
    <xf numFmtId="0" fontId="6" fillId="14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EBEE"/>
      <rgbColor rgb="FFFF00FF"/>
      <rgbColor rgb="FF00FFFF"/>
      <rgbColor rgb="FF800000"/>
      <rgbColor rgb="FF1B6B1B"/>
      <rgbColor rgb="FF000080"/>
      <rgbColor rgb="FF7E9945"/>
      <rgbColor rgb="FF800080"/>
      <rgbColor rgb="FF00838F"/>
      <rgbColor rgb="FFC0D2A7"/>
      <rgbColor rgb="FF878787"/>
      <rgbColor rgb="FF888888"/>
      <rgbColor rgb="FF9D3E3B"/>
      <rgbColor rgb="FFFFFDE7"/>
      <rgbColor rgb="FFE3F2FD"/>
      <rgbColor rgb="FF4A148C"/>
      <rgbColor rgb="FFCB7934"/>
      <rgbColor rgb="FF1565C0"/>
      <rgbColor rgb="FFD9D9D9"/>
      <rgbColor rgb="FF000080"/>
      <rgbColor rgb="FFFF00FF"/>
      <rgbColor rgb="FFF9F9F9"/>
      <rgbColor rgb="FF00FFFF"/>
      <rgbColor rgb="FF800080"/>
      <rgbColor rgb="FF800000"/>
      <rgbColor rgb="FF2E7D32"/>
      <rgbColor rgb="FF0000FF"/>
      <rgbColor rgb="FF00CCFF"/>
      <rgbColor rgb="FFE8F5E9"/>
      <rgbColor rgb="FFF5F5F5"/>
      <rgbColor rgb="FFFFF3E0"/>
      <rgbColor rgb="FFA5B5D3"/>
      <rgbColor rgb="FFD4A5A4"/>
      <rgbColor rgb="FFB4AAC5"/>
      <rgbColor rgb="FFF3E5F5"/>
      <rgbColor rgb="FF4A7EBB"/>
      <rgbColor rgb="FF46AAC4"/>
      <rgbColor rgb="FF98B855"/>
      <rgbColor rgb="FFFAFAFA"/>
      <rgbColor rgb="FFF59240"/>
      <rgbColor rgb="FFE65100"/>
      <rgbColor rgb="FF7D5FA0"/>
      <rgbColor rgb="FF90A4AE"/>
      <rgbColor rgb="FF674F84"/>
      <rgbColor rgb="FF398BA2"/>
      <rgbColor rgb="FF0D1B2A"/>
      <rgbColor rgb="FF455A64"/>
      <rgbColor rgb="FFC62828"/>
      <rgbColor rgb="FFBE4B48"/>
      <rgbColor rgb="FF283593"/>
      <rgbColor rgb="FF37474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showGridLines="0" zoomScaleNormal="100" workbookViewId="0">
      <selection activeCell="C7" sqref="C7"/>
    </sheetView>
  </sheetViews>
  <sheetFormatPr defaultColWidth="8.7109375" defaultRowHeight="15" x14ac:dyDescent="0.25"/>
  <cols>
    <col min="1" max="1" width="4" customWidth="1"/>
    <col min="2" max="2" width="24" customWidth="1"/>
    <col min="3" max="3" width="70.28515625" customWidth="1"/>
  </cols>
  <sheetData>
    <row r="1" spans="1:3" ht="33.75" customHeight="1" x14ac:dyDescent="0.25">
      <c r="A1" s="77" t="s">
        <v>0</v>
      </c>
      <c r="B1" s="77"/>
      <c r="C1" s="77"/>
    </row>
    <row r="2" spans="1:3" ht="38.25" customHeight="1" x14ac:dyDescent="0.25">
      <c r="A2" s="78" t="s">
        <v>1</v>
      </c>
      <c r="B2" s="78"/>
      <c r="C2" s="78"/>
    </row>
    <row r="3" spans="1:3" ht="60" x14ac:dyDescent="0.25">
      <c r="A3" s="1"/>
      <c r="B3" s="75" t="s">
        <v>2</v>
      </c>
      <c r="C3" s="2" t="s">
        <v>225</v>
      </c>
    </row>
    <row r="4" spans="1:3" ht="96" x14ac:dyDescent="0.25">
      <c r="A4" s="1"/>
      <c r="B4" s="75" t="s">
        <v>3</v>
      </c>
      <c r="C4" s="2" t="s">
        <v>4</v>
      </c>
    </row>
    <row r="5" spans="1:3" ht="96" x14ac:dyDescent="0.25">
      <c r="A5" s="1"/>
      <c r="B5" s="75" t="s">
        <v>5</v>
      </c>
      <c r="C5" s="2" t="s">
        <v>6</v>
      </c>
    </row>
    <row r="6" spans="1:3" ht="69.75" customHeight="1" x14ac:dyDescent="0.25">
      <c r="A6" s="1"/>
      <c r="B6" s="75" t="s">
        <v>7</v>
      </c>
      <c r="C6" s="2" t="s">
        <v>8</v>
      </c>
    </row>
    <row r="7" spans="1:3" ht="84" x14ac:dyDescent="0.25">
      <c r="A7" s="1"/>
      <c r="B7" s="76" t="s">
        <v>9</v>
      </c>
      <c r="C7" s="3" t="s">
        <v>227</v>
      </c>
    </row>
    <row r="9" spans="1:3" ht="13.5" customHeight="1" x14ac:dyDescent="0.25">
      <c r="A9" s="4" t="s">
        <v>226</v>
      </c>
      <c r="B9" s="79" t="s">
        <v>11</v>
      </c>
      <c r="C9" s="79"/>
    </row>
  </sheetData>
  <mergeCells count="3">
    <mergeCell ref="A1:C1"/>
    <mergeCell ref="A2:C2"/>
    <mergeCell ref="B9:C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showGridLines="0" zoomScaleNormal="100" workbookViewId="0">
      <selection activeCell="I22" sqref="I22"/>
    </sheetView>
  </sheetViews>
  <sheetFormatPr defaultColWidth="8.7109375" defaultRowHeight="15" x14ac:dyDescent="0.25"/>
  <cols>
    <col min="1" max="1" width="38" customWidth="1"/>
    <col min="2" max="4" width="14" customWidth="1"/>
    <col min="5" max="5" width="23.42578125" customWidth="1"/>
  </cols>
  <sheetData>
    <row r="1" spans="1:5" ht="30" customHeight="1" x14ac:dyDescent="0.25">
      <c r="A1" s="82" t="s">
        <v>12</v>
      </c>
      <c r="B1" s="82"/>
      <c r="C1" s="82"/>
      <c r="D1" s="82"/>
      <c r="E1" s="82"/>
    </row>
    <row r="2" spans="1:5" ht="18" customHeight="1" x14ac:dyDescent="0.25">
      <c r="A2" s="83" t="s">
        <v>228</v>
      </c>
      <c r="B2" s="83"/>
      <c r="C2" s="83"/>
      <c r="D2" s="83"/>
      <c r="E2" s="83"/>
    </row>
    <row r="3" spans="1:5" ht="19.5" customHeight="1" x14ac:dyDescent="0.25">
      <c r="A3" s="5" t="s">
        <v>13</v>
      </c>
      <c r="B3" s="5" t="s">
        <v>14</v>
      </c>
      <c r="C3" s="5" t="s">
        <v>15</v>
      </c>
      <c r="D3" s="5" t="s">
        <v>16</v>
      </c>
      <c r="E3" s="5" t="s">
        <v>17</v>
      </c>
    </row>
    <row r="4" spans="1:5" ht="16.5" customHeight="1" x14ac:dyDescent="0.25">
      <c r="A4" s="80" t="s">
        <v>18</v>
      </c>
      <c r="B4" s="80"/>
      <c r="C4" s="80"/>
      <c r="D4" s="80"/>
      <c r="E4" s="80"/>
    </row>
    <row r="5" spans="1:5" ht="15" customHeight="1" thickBot="1" x14ac:dyDescent="0.3">
      <c r="A5" s="6" t="s">
        <v>19</v>
      </c>
      <c r="B5" s="7">
        <v>5600</v>
      </c>
      <c r="C5" s="7">
        <v>6400</v>
      </c>
      <c r="D5" s="7">
        <v>7500</v>
      </c>
      <c r="E5" s="10">
        <f>SUM(B5:D5)</f>
        <v>19500</v>
      </c>
    </row>
    <row r="6" spans="1:5" ht="15" customHeight="1" thickBot="1" x14ac:dyDescent="0.3">
      <c r="A6" s="6" t="s">
        <v>20</v>
      </c>
      <c r="B6" s="8">
        <v>0.84</v>
      </c>
      <c r="C6" s="8">
        <v>0.75</v>
      </c>
      <c r="D6" s="8">
        <v>0.8</v>
      </c>
      <c r="E6" s="10"/>
    </row>
    <row r="7" spans="1:5" ht="15" customHeight="1" thickBot="1" x14ac:dyDescent="0.3">
      <c r="A7" s="9" t="s">
        <v>21</v>
      </c>
      <c r="B7" s="10">
        <v>4680</v>
      </c>
      <c r="C7" s="10">
        <v>4800</v>
      </c>
      <c r="D7" s="10">
        <v>5980</v>
      </c>
      <c r="E7" s="10">
        <f>SUM(B7:D7)</f>
        <v>15460</v>
      </c>
    </row>
    <row r="8" spans="1:5" ht="15" customHeight="1" thickBot="1" x14ac:dyDescent="0.3">
      <c r="A8" s="6" t="s">
        <v>22</v>
      </c>
      <c r="B8" s="11">
        <v>150</v>
      </c>
      <c r="C8" s="11">
        <v>152</v>
      </c>
      <c r="D8" s="11">
        <v>155</v>
      </c>
      <c r="E8" s="10"/>
    </row>
    <row r="9" spans="1:5" ht="15" customHeight="1" thickBot="1" x14ac:dyDescent="0.3">
      <c r="A9" s="6" t="s">
        <v>23</v>
      </c>
      <c r="B9" s="7">
        <v>26</v>
      </c>
      <c r="C9" s="7">
        <v>24</v>
      </c>
      <c r="D9" s="7">
        <v>26</v>
      </c>
      <c r="E9" s="10">
        <f>SUM(B9:D9)</f>
        <v>76</v>
      </c>
    </row>
    <row r="10" spans="1:5" ht="16.5" customHeight="1" x14ac:dyDescent="0.25">
      <c r="A10" s="80" t="s">
        <v>24</v>
      </c>
      <c r="B10" s="80"/>
      <c r="C10" s="80"/>
      <c r="D10" s="80"/>
      <c r="E10" s="80"/>
    </row>
    <row r="11" spans="1:5" ht="15" customHeight="1" thickBot="1" x14ac:dyDescent="0.3">
      <c r="A11" s="6" t="s">
        <v>25</v>
      </c>
      <c r="B11" s="7">
        <v>89237</v>
      </c>
      <c r="C11" s="7">
        <v>92746</v>
      </c>
      <c r="D11" s="7">
        <v>117826</v>
      </c>
      <c r="E11" s="10">
        <f t="shared" ref="E11:E16" si="0">SUM(B11:D11)</f>
        <v>299809</v>
      </c>
    </row>
    <row r="12" spans="1:5" ht="15" customHeight="1" thickBot="1" x14ac:dyDescent="0.3">
      <c r="A12" s="6" t="s">
        <v>26</v>
      </c>
      <c r="B12" s="11">
        <v>0</v>
      </c>
      <c r="C12" s="11">
        <v>3840</v>
      </c>
      <c r="D12" s="11">
        <v>7680</v>
      </c>
      <c r="E12" s="10">
        <f t="shared" si="0"/>
        <v>11520</v>
      </c>
    </row>
    <row r="13" spans="1:5" ht="15" customHeight="1" thickBot="1" x14ac:dyDescent="0.3">
      <c r="A13" s="6" t="s">
        <v>27</v>
      </c>
      <c r="B13" s="11">
        <v>86400</v>
      </c>
      <c r="C13" s="11">
        <v>108000</v>
      </c>
      <c r="D13" s="11">
        <v>151200</v>
      </c>
      <c r="E13" s="10">
        <f t="shared" si="0"/>
        <v>345600</v>
      </c>
    </row>
    <row r="14" spans="1:5" ht="15" customHeight="1" thickBot="1" x14ac:dyDescent="0.3">
      <c r="A14" s="6" t="s">
        <v>28</v>
      </c>
      <c r="B14" s="11">
        <v>55720</v>
      </c>
      <c r="C14" s="11">
        <v>69650</v>
      </c>
      <c r="D14" s="11">
        <v>83580</v>
      </c>
      <c r="E14" s="10">
        <f t="shared" si="0"/>
        <v>208950</v>
      </c>
    </row>
    <row r="15" spans="1:5" ht="15" customHeight="1" thickBot="1" x14ac:dyDescent="0.3">
      <c r="A15" s="6" t="s">
        <v>29</v>
      </c>
      <c r="B15" s="11">
        <v>18000</v>
      </c>
      <c r="C15" s="11">
        <v>20000</v>
      </c>
      <c r="D15" s="11">
        <v>22000</v>
      </c>
      <c r="E15" s="10">
        <f t="shared" si="0"/>
        <v>60000</v>
      </c>
    </row>
    <row r="16" spans="1:5" ht="15" customHeight="1" thickBot="1" x14ac:dyDescent="0.3">
      <c r="A16" s="9" t="s">
        <v>30</v>
      </c>
      <c r="B16" s="12">
        <v>249357</v>
      </c>
      <c r="C16" s="12">
        <v>294236</v>
      </c>
      <c r="D16" s="12">
        <v>382286</v>
      </c>
      <c r="E16" s="10">
        <f t="shared" si="0"/>
        <v>925879</v>
      </c>
    </row>
    <row r="17" spans="1:5" ht="16.5" customHeight="1" x14ac:dyDescent="0.25">
      <c r="A17" s="80" t="s">
        <v>31</v>
      </c>
      <c r="B17" s="80"/>
      <c r="C17" s="80"/>
      <c r="D17" s="80"/>
      <c r="E17" s="80"/>
    </row>
    <row r="18" spans="1:5" ht="15" customHeight="1" thickBot="1" x14ac:dyDescent="0.3">
      <c r="A18" s="13" t="s">
        <v>32</v>
      </c>
      <c r="B18" s="14">
        <v>278040</v>
      </c>
      <c r="C18" s="14">
        <v>291900</v>
      </c>
      <c r="D18" s="14">
        <v>340980</v>
      </c>
      <c r="E18" s="10">
        <f>SUM(B18:D18)</f>
        <v>910920</v>
      </c>
    </row>
    <row r="19" spans="1:5" ht="15" customHeight="1" thickBot="1" x14ac:dyDescent="0.3">
      <c r="A19" s="9" t="s">
        <v>33</v>
      </c>
      <c r="B19" s="12">
        <v>-28683</v>
      </c>
      <c r="C19" s="12">
        <v>2336</v>
      </c>
      <c r="D19" s="12">
        <v>41306</v>
      </c>
      <c r="E19" s="10">
        <f>SUM(B19:D19)</f>
        <v>14959</v>
      </c>
    </row>
    <row r="20" spans="1:5" ht="15" customHeight="1" thickBot="1" x14ac:dyDescent="0.3">
      <c r="A20" s="6" t="s">
        <v>34</v>
      </c>
      <c r="B20" s="11">
        <v>463000</v>
      </c>
      <c r="C20" s="11">
        <v>481000</v>
      </c>
      <c r="D20" s="11">
        <v>517000</v>
      </c>
      <c r="E20" s="10">
        <f>SUM(B20:D20)</f>
        <v>1461000</v>
      </c>
    </row>
    <row r="21" spans="1:5" ht="15" customHeight="1" thickBot="1" x14ac:dyDescent="0.3">
      <c r="A21" s="9" t="s">
        <v>35</v>
      </c>
      <c r="B21" s="12">
        <v>-491683</v>
      </c>
      <c r="C21" s="12">
        <v>-478664</v>
      </c>
      <c r="D21" s="12">
        <v>-475694</v>
      </c>
      <c r="E21" s="10">
        <f>SUM(B21:D21)</f>
        <v>-1446041</v>
      </c>
    </row>
    <row r="22" spans="1:5" ht="15" customHeight="1" x14ac:dyDescent="0.25">
      <c r="A22" s="9" t="s">
        <v>36</v>
      </c>
      <c r="B22" s="12">
        <v>-507683</v>
      </c>
      <c r="C22" s="12">
        <v>-494664</v>
      </c>
      <c r="D22" s="12">
        <v>-491694</v>
      </c>
      <c r="E22" s="10">
        <f>SUM(B22:D22)</f>
        <v>-1494041</v>
      </c>
    </row>
    <row r="23" spans="1:5" ht="16.5" customHeight="1" x14ac:dyDescent="0.25">
      <c r="A23" s="80" t="s">
        <v>37</v>
      </c>
      <c r="B23" s="80"/>
      <c r="C23" s="80"/>
      <c r="D23" s="80"/>
      <c r="E23" s="80"/>
    </row>
    <row r="24" spans="1:5" ht="15" customHeight="1" x14ac:dyDescent="0.25">
      <c r="A24" s="6" t="s">
        <v>38</v>
      </c>
      <c r="B24" s="15">
        <v>-0.115</v>
      </c>
      <c r="C24" s="15">
        <v>8.0000000000000002E-3</v>
      </c>
      <c r="D24" s="15">
        <v>0.108</v>
      </c>
      <c r="E24" s="15">
        <v>2E-3</v>
      </c>
    </row>
    <row r="25" spans="1:5" ht="15" customHeight="1" x14ac:dyDescent="0.25">
      <c r="A25" s="6" t="s">
        <v>39</v>
      </c>
      <c r="B25" s="15">
        <v>-1.972</v>
      </c>
      <c r="C25" s="15">
        <v>-1.627</v>
      </c>
      <c r="D25" s="15">
        <v>-1.244</v>
      </c>
      <c r="E25" s="15">
        <v>-1.6140000000000001</v>
      </c>
    </row>
    <row r="26" spans="1:5" ht="15" customHeight="1" x14ac:dyDescent="0.25">
      <c r="A26" s="6" t="s">
        <v>40</v>
      </c>
      <c r="B26" s="11">
        <v>53.28</v>
      </c>
      <c r="C26" s="11">
        <v>61.3</v>
      </c>
      <c r="D26" s="11">
        <v>63.93</v>
      </c>
      <c r="E26" s="1"/>
    </row>
    <row r="27" spans="1:5" ht="15" customHeight="1" x14ac:dyDescent="0.25">
      <c r="A27" s="6" t="s">
        <v>41</v>
      </c>
      <c r="B27" s="7">
        <v>600</v>
      </c>
      <c r="C27" s="7">
        <v>750</v>
      </c>
      <c r="D27" s="7">
        <v>900</v>
      </c>
      <c r="E27" s="1"/>
    </row>
    <row r="28" spans="1:5" ht="15" customHeight="1" x14ac:dyDescent="0.25">
      <c r="A28" s="6" t="s">
        <v>42</v>
      </c>
      <c r="B28" s="7">
        <v>280</v>
      </c>
      <c r="C28" s="7">
        <v>350</v>
      </c>
      <c r="D28" s="7">
        <v>420</v>
      </c>
      <c r="E28" s="1"/>
    </row>
    <row r="29" spans="1:5" ht="15" customHeight="1" x14ac:dyDescent="0.25">
      <c r="A29" s="6" t="s">
        <v>43</v>
      </c>
      <c r="B29" s="7">
        <v>4</v>
      </c>
      <c r="C29" s="7">
        <v>5</v>
      </c>
      <c r="D29" s="7">
        <v>6</v>
      </c>
      <c r="E29" s="1"/>
    </row>
    <row r="31" spans="1:5" ht="13.5" customHeight="1" x14ac:dyDescent="0.25">
      <c r="A31" s="81" t="s">
        <v>226</v>
      </c>
      <c r="B31" s="81"/>
      <c r="C31" s="79" t="s">
        <v>11</v>
      </c>
      <c r="D31" s="79"/>
      <c r="E31" s="79"/>
    </row>
  </sheetData>
  <mergeCells count="8">
    <mergeCell ref="A23:E23"/>
    <mergeCell ref="A31:B31"/>
    <mergeCell ref="C31:E31"/>
    <mergeCell ref="A1:E1"/>
    <mergeCell ref="A2:E2"/>
    <mergeCell ref="A4:E4"/>
    <mergeCell ref="A10:E10"/>
    <mergeCell ref="A17:E17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Normal="100" workbookViewId="0">
      <selection activeCell="A30" sqref="A30"/>
    </sheetView>
  </sheetViews>
  <sheetFormatPr defaultColWidth="8.7109375" defaultRowHeight="15" x14ac:dyDescent="0.25"/>
  <cols>
    <col min="1" max="1" width="67.28515625" bestFit="1" customWidth="1"/>
    <col min="2" max="10" width="13" customWidth="1"/>
    <col min="11" max="11" width="15" customWidth="1"/>
  </cols>
  <sheetData>
    <row r="1" spans="1:11" ht="30" customHeight="1" x14ac:dyDescent="0.25">
      <c r="A1" s="86" t="s">
        <v>44</v>
      </c>
      <c r="B1" s="86"/>
      <c r="C1" s="86"/>
      <c r="D1" s="86"/>
      <c r="E1" s="86"/>
      <c r="F1" s="86"/>
      <c r="G1" s="86"/>
      <c r="H1" s="86"/>
      <c r="I1" s="86"/>
      <c r="J1" s="86"/>
      <c r="K1" s="86"/>
    </row>
    <row r="2" spans="1:11" ht="18" customHeight="1" x14ac:dyDescent="0.25">
      <c r="A2" s="83" t="s">
        <v>45</v>
      </c>
      <c r="B2" s="83"/>
      <c r="C2" s="83"/>
      <c r="D2" s="83"/>
      <c r="E2" s="83"/>
      <c r="F2" s="83"/>
      <c r="G2" s="83"/>
      <c r="H2" s="83"/>
      <c r="I2" s="83"/>
      <c r="J2" s="83"/>
      <c r="K2" s="83"/>
    </row>
    <row r="3" spans="1:11" ht="24" customHeight="1" x14ac:dyDescent="0.25">
      <c r="A3" s="5" t="s">
        <v>46</v>
      </c>
      <c r="B3" s="5" t="s">
        <v>47</v>
      </c>
      <c r="C3" s="5" t="s">
        <v>48</v>
      </c>
      <c r="D3" s="5" t="s">
        <v>49</v>
      </c>
      <c r="E3" s="5" t="s">
        <v>50</v>
      </c>
      <c r="F3" s="5" t="s">
        <v>51</v>
      </c>
      <c r="G3" s="5" t="s">
        <v>52</v>
      </c>
      <c r="H3" s="5" t="s">
        <v>53</v>
      </c>
      <c r="I3" s="5" t="s">
        <v>54</v>
      </c>
      <c r="J3" s="5" t="s">
        <v>55</v>
      </c>
      <c r="K3" s="5" t="s">
        <v>56</v>
      </c>
    </row>
    <row r="4" spans="1:11" ht="16.5" customHeight="1" x14ac:dyDescent="0.25">
      <c r="A4" s="87" t="s">
        <v>57</v>
      </c>
      <c r="B4" s="87"/>
      <c r="C4" s="87"/>
      <c r="D4" s="87"/>
      <c r="E4" s="87"/>
      <c r="F4" s="87"/>
      <c r="G4" s="87"/>
      <c r="H4" s="87"/>
      <c r="I4" s="87"/>
      <c r="J4" s="87"/>
      <c r="K4" s="87"/>
    </row>
    <row r="5" spans="1:11" ht="15" customHeight="1" x14ac:dyDescent="0.25">
      <c r="A5" s="16" t="s">
        <v>58</v>
      </c>
      <c r="B5" s="17">
        <v>8100</v>
      </c>
      <c r="C5" s="7">
        <f t="shared" ref="C5:J5" si="0">ROUND(B5*(1+C6),0)</f>
        <v>8829</v>
      </c>
      <c r="D5" s="7">
        <f t="shared" si="0"/>
        <v>9624</v>
      </c>
      <c r="E5" s="7">
        <f t="shared" si="0"/>
        <v>10394</v>
      </c>
      <c r="F5" s="7">
        <f t="shared" si="0"/>
        <v>11226</v>
      </c>
      <c r="G5" s="7">
        <f t="shared" si="0"/>
        <v>12012</v>
      </c>
      <c r="H5" s="7">
        <f t="shared" si="0"/>
        <v>12853</v>
      </c>
      <c r="I5" s="7">
        <f t="shared" si="0"/>
        <v>13624</v>
      </c>
      <c r="J5" s="7">
        <f t="shared" si="0"/>
        <v>14441</v>
      </c>
      <c r="K5" s="1"/>
    </row>
    <row r="6" spans="1:11" ht="15" customHeight="1" x14ac:dyDescent="0.25">
      <c r="A6" s="18" t="s">
        <v>229</v>
      </c>
      <c r="B6" s="19">
        <v>0.08</v>
      </c>
      <c r="C6" s="19">
        <v>0.09</v>
      </c>
      <c r="D6" s="19">
        <v>0.09</v>
      </c>
      <c r="E6" s="19">
        <v>0.08</v>
      </c>
      <c r="F6" s="19">
        <v>0.08</v>
      </c>
      <c r="G6" s="19">
        <v>7.0000000000000007E-2</v>
      </c>
      <c r="H6" s="19">
        <v>7.0000000000000007E-2</v>
      </c>
      <c r="I6" s="19">
        <v>0.06</v>
      </c>
      <c r="J6" s="19">
        <v>0.06</v>
      </c>
      <c r="K6" s="1"/>
    </row>
    <row r="7" spans="1:11" ht="15" customHeight="1" x14ac:dyDescent="0.25">
      <c r="A7" s="16" t="s">
        <v>59</v>
      </c>
      <c r="B7" s="7">
        <f>B5-7500</f>
        <v>600</v>
      </c>
      <c r="C7" s="7">
        <f t="shared" ref="C7:J7" si="1">C5-B5</f>
        <v>729</v>
      </c>
      <c r="D7" s="7">
        <f t="shared" si="1"/>
        <v>795</v>
      </c>
      <c r="E7" s="7">
        <f t="shared" si="1"/>
        <v>770</v>
      </c>
      <c r="F7" s="7">
        <f t="shared" si="1"/>
        <v>832</v>
      </c>
      <c r="G7" s="7">
        <f t="shared" si="1"/>
        <v>786</v>
      </c>
      <c r="H7" s="7">
        <f t="shared" si="1"/>
        <v>841</v>
      </c>
      <c r="I7" s="7">
        <f t="shared" si="1"/>
        <v>771</v>
      </c>
      <c r="J7" s="7">
        <f t="shared" si="1"/>
        <v>817</v>
      </c>
      <c r="K7" s="20">
        <f>SUM(B7:J7)</f>
        <v>6941</v>
      </c>
    </row>
    <row r="8" spans="1:11" ht="16.5" customHeight="1" x14ac:dyDescent="0.25">
      <c r="A8" s="88" t="s">
        <v>60</v>
      </c>
      <c r="B8" s="88"/>
      <c r="C8" s="88"/>
      <c r="D8" s="88"/>
      <c r="E8" s="88"/>
      <c r="F8" s="88"/>
      <c r="G8" s="88"/>
      <c r="H8" s="88"/>
      <c r="I8" s="88"/>
      <c r="J8" s="88"/>
      <c r="K8" s="88"/>
    </row>
    <row r="9" spans="1:11" ht="15" customHeight="1" x14ac:dyDescent="0.25">
      <c r="A9" s="21" t="s">
        <v>61</v>
      </c>
      <c r="B9" s="22">
        <v>0.85</v>
      </c>
      <c r="C9" s="22">
        <v>0.87</v>
      </c>
      <c r="D9" s="22">
        <v>0.9</v>
      </c>
      <c r="E9" s="22">
        <v>0.92</v>
      </c>
      <c r="F9" s="22">
        <v>0.94</v>
      </c>
      <c r="G9" s="22">
        <v>0.95</v>
      </c>
      <c r="H9" s="22">
        <v>0.97</v>
      </c>
      <c r="I9" s="22">
        <v>0.98</v>
      </c>
      <c r="J9" s="22">
        <v>1</v>
      </c>
      <c r="K9" s="1"/>
    </row>
    <row r="10" spans="1:11" ht="15" customHeight="1" x14ac:dyDescent="0.25">
      <c r="A10" s="9" t="s">
        <v>62</v>
      </c>
      <c r="B10" s="10">
        <f t="shared" ref="B10:J10" si="2">ROUND(B5*B9,0)</f>
        <v>6885</v>
      </c>
      <c r="C10" s="10">
        <f t="shared" si="2"/>
        <v>7681</v>
      </c>
      <c r="D10" s="10">
        <f t="shared" si="2"/>
        <v>8662</v>
      </c>
      <c r="E10" s="10">
        <f t="shared" si="2"/>
        <v>9562</v>
      </c>
      <c r="F10" s="10">
        <f t="shared" si="2"/>
        <v>10552</v>
      </c>
      <c r="G10" s="10">
        <f t="shared" si="2"/>
        <v>11411</v>
      </c>
      <c r="H10" s="10">
        <f t="shared" si="2"/>
        <v>12467</v>
      </c>
      <c r="I10" s="10">
        <f t="shared" si="2"/>
        <v>13352</v>
      </c>
      <c r="J10" s="10">
        <f t="shared" si="2"/>
        <v>14441</v>
      </c>
      <c r="K10" s="10">
        <f>SUM(B10:J10)+15460</f>
        <v>110473</v>
      </c>
    </row>
    <row r="11" spans="1:11" ht="16.5" customHeight="1" x14ac:dyDescent="0.25">
      <c r="A11" s="89" t="s">
        <v>63</v>
      </c>
      <c r="B11" s="89"/>
      <c r="C11" s="89"/>
      <c r="D11" s="89"/>
      <c r="E11" s="89"/>
      <c r="F11" s="89"/>
      <c r="G11" s="89"/>
      <c r="H11" s="89"/>
      <c r="I11" s="89"/>
      <c r="J11" s="89"/>
      <c r="K11" s="89"/>
    </row>
    <row r="12" spans="1:11" ht="15" customHeight="1" x14ac:dyDescent="0.25">
      <c r="A12" s="21" t="s">
        <v>64</v>
      </c>
      <c r="B12" s="23">
        <v>156</v>
      </c>
      <c r="C12" s="23">
        <v>157</v>
      </c>
      <c r="D12" s="23">
        <v>158</v>
      </c>
      <c r="E12" s="23">
        <v>159</v>
      </c>
      <c r="F12" s="23">
        <v>160</v>
      </c>
      <c r="G12" s="23">
        <v>161</v>
      </c>
      <c r="H12" s="23">
        <v>162</v>
      </c>
      <c r="I12" s="23">
        <v>163</v>
      </c>
      <c r="J12" s="23">
        <v>165</v>
      </c>
      <c r="K12" s="1"/>
    </row>
    <row r="13" spans="1:11" ht="15" customHeight="1" x14ac:dyDescent="0.25">
      <c r="A13" s="21" t="s">
        <v>65</v>
      </c>
      <c r="B13" s="19">
        <v>0.15</v>
      </c>
      <c r="C13" s="19">
        <v>0.15</v>
      </c>
      <c r="D13" s="19">
        <v>0.15</v>
      </c>
      <c r="E13" s="19">
        <v>0.155</v>
      </c>
      <c r="F13" s="19">
        <v>0.155</v>
      </c>
      <c r="G13" s="19">
        <v>0.155</v>
      </c>
      <c r="H13" s="19">
        <v>0.16</v>
      </c>
      <c r="I13" s="19">
        <v>0.16</v>
      </c>
      <c r="J13" s="19">
        <v>0.16</v>
      </c>
      <c r="K13" s="1"/>
    </row>
    <row r="14" spans="1:11" ht="15" customHeight="1" x14ac:dyDescent="0.25">
      <c r="A14" s="16" t="s">
        <v>66</v>
      </c>
      <c r="B14" s="19">
        <v>0.18</v>
      </c>
      <c r="C14" s="19">
        <v>0.18</v>
      </c>
      <c r="D14" s="19">
        <v>0.18</v>
      </c>
      <c r="E14" s="19">
        <v>0.18</v>
      </c>
      <c r="F14" s="19">
        <v>0.18</v>
      </c>
      <c r="G14" s="19">
        <v>0.18</v>
      </c>
      <c r="H14" s="19">
        <v>0.18</v>
      </c>
      <c r="I14" s="19">
        <v>0.18</v>
      </c>
      <c r="J14" s="19">
        <v>0.18</v>
      </c>
      <c r="K14" s="1"/>
    </row>
    <row r="15" spans="1:11" ht="15" customHeight="1" x14ac:dyDescent="0.25">
      <c r="A15" s="9" t="s">
        <v>67</v>
      </c>
      <c r="B15" s="12">
        <f t="shared" ref="B15:J15" si="3">ROUND(B10*B12*B13/(1+B14),0)</f>
        <v>136533</v>
      </c>
      <c r="C15" s="12">
        <f t="shared" si="3"/>
        <v>153295</v>
      </c>
      <c r="D15" s="12">
        <f t="shared" si="3"/>
        <v>173974</v>
      </c>
      <c r="E15" s="12">
        <f t="shared" si="3"/>
        <v>199708</v>
      </c>
      <c r="F15" s="12">
        <f t="shared" si="3"/>
        <v>221771</v>
      </c>
      <c r="G15" s="12">
        <f t="shared" si="3"/>
        <v>241323</v>
      </c>
      <c r="H15" s="12">
        <f t="shared" si="3"/>
        <v>273851</v>
      </c>
      <c r="I15" s="12">
        <f t="shared" si="3"/>
        <v>295102</v>
      </c>
      <c r="J15" s="12">
        <f t="shared" si="3"/>
        <v>323087</v>
      </c>
      <c r="K15" s="12">
        <f>SUM(B15:J15)+299809</f>
        <v>2318453</v>
      </c>
    </row>
    <row r="16" spans="1:11" ht="16.5" customHeight="1" x14ac:dyDescent="0.25">
      <c r="A16" s="84" t="s">
        <v>68</v>
      </c>
      <c r="B16" s="84"/>
      <c r="C16" s="84"/>
      <c r="D16" s="84"/>
      <c r="E16" s="84"/>
      <c r="F16" s="84"/>
      <c r="G16" s="84"/>
      <c r="H16" s="84"/>
      <c r="I16" s="84"/>
      <c r="J16" s="84"/>
      <c r="K16" s="84"/>
    </row>
    <row r="17" spans="1:11" ht="15" customHeight="1" x14ac:dyDescent="0.25">
      <c r="A17" s="21" t="s">
        <v>69</v>
      </c>
      <c r="B17" s="17">
        <v>8</v>
      </c>
      <c r="C17" s="17">
        <v>9</v>
      </c>
      <c r="D17" s="17">
        <v>10</v>
      </c>
      <c r="E17" s="17">
        <v>12</v>
      </c>
      <c r="F17" s="17">
        <v>13</v>
      </c>
      <c r="G17" s="17">
        <v>14</v>
      </c>
      <c r="H17" s="17">
        <v>16</v>
      </c>
      <c r="I17" s="17">
        <v>17</v>
      </c>
      <c r="J17" s="17">
        <v>18</v>
      </c>
      <c r="K17" s="1"/>
    </row>
    <row r="18" spans="1:11" ht="15" customHeight="1" x14ac:dyDescent="0.25">
      <c r="A18" s="21" t="s">
        <v>70</v>
      </c>
      <c r="B18" s="23">
        <v>26000</v>
      </c>
      <c r="C18" s="23">
        <v>27000</v>
      </c>
      <c r="D18" s="23">
        <v>28000</v>
      </c>
      <c r="E18" s="23">
        <v>30000</v>
      </c>
      <c r="F18" s="23">
        <v>30000</v>
      </c>
      <c r="G18" s="23">
        <v>32000</v>
      </c>
      <c r="H18" s="23">
        <v>32000</v>
      </c>
      <c r="I18" s="23">
        <v>34000</v>
      </c>
      <c r="J18" s="23">
        <v>35000</v>
      </c>
      <c r="K18" s="1"/>
    </row>
    <row r="19" spans="1:11" ht="15" customHeight="1" x14ac:dyDescent="0.25">
      <c r="A19" s="16" t="s">
        <v>71</v>
      </c>
      <c r="B19" s="19">
        <v>0.1</v>
      </c>
      <c r="C19" s="19">
        <v>0.1</v>
      </c>
      <c r="D19" s="19">
        <v>0.1</v>
      </c>
      <c r="E19" s="19">
        <v>0.1</v>
      </c>
      <c r="F19" s="19">
        <v>0.1</v>
      </c>
      <c r="G19" s="19">
        <v>0.1</v>
      </c>
      <c r="H19" s="19">
        <v>0.1</v>
      </c>
      <c r="I19" s="19">
        <v>0.1</v>
      </c>
      <c r="J19" s="19">
        <v>0.1</v>
      </c>
      <c r="K19" s="1"/>
    </row>
    <row r="20" spans="1:11" ht="15" customHeight="1" x14ac:dyDescent="0.25">
      <c r="A20" s="24" t="s">
        <v>72</v>
      </c>
      <c r="B20" s="25">
        <f t="shared" ref="B20:J20" si="4">B17*B18*(1-B19)</f>
        <v>187200</v>
      </c>
      <c r="C20" s="25">
        <f t="shared" si="4"/>
        <v>218700</v>
      </c>
      <c r="D20" s="25">
        <f t="shared" si="4"/>
        <v>252000</v>
      </c>
      <c r="E20" s="25">
        <f t="shared" si="4"/>
        <v>324000</v>
      </c>
      <c r="F20" s="25">
        <f t="shared" si="4"/>
        <v>351000</v>
      </c>
      <c r="G20" s="25">
        <f t="shared" si="4"/>
        <v>403200</v>
      </c>
      <c r="H20" s="25">
        <f t="shared" si="4"/>
        <v>460800</v>
      </c>
      <c r="I20" s="25">
        <f t="shared" si="4"/>
        <v>520200</v>
      </c>
      <c r="J20" s="25">
        <f t="shared" si="4"/>
        <v>567000</v>
      </c>
      <c r="K20" s="25">
        <f>SUM(B20:J20)+345600</f>
        <v>3629700</v>
      </c>
    </row>
    <row r="21" spans="1:11" ht="15" customHeight="1" x14ac:dyDescent="0.25">
      <c r="A21" s="21" t="s">
        <v>73</v>
      </c>
      <c r="B21" s="17">
        <v>520</v>
      </c>
      <c r="C21" s="17">
        <v>600</v>
      </c>
      <c r="D21" s="17">
        <v>680</v>
      </c>
      <c r="E21" s="17">
        <v>760</v>
      </c>
      <c r="F21" s="17">
        <v>840</v>
      </c>
      <c r="G21" s="17">
        <v>900</v>
      </c>
      <c r="H21" s="17">
        <v>960</v>
      </c>
      <c r="I21" s="17">
        <v>1020</v>
      </c>
      <c r="J21" s="17">
        <v>1080</v>
      </c>
      <c r="K21" s="1"/>
    </row>
    <row r="22" spans="1:11" ht="15" customHeight="1" x14ac:dyDescent="0.25">
      <c r="A22" s="21" t="s">
        <v>74</v>
      </c>
      <c r="B22" s="23">
        <v>199</v>
      </c>
      <c r="C22" s="23">
        <v>199</v>
      </c>
      <c r="D22" s="23">
        <v>199</v>
      </c>
      <c r="E22" s="23">
        <v>199</v>
      </c>
      <c r="F22" s="23">
        <v>199</v>
      </c>
      <c r="G22" s="23">
        <v>199</v>
      </c>
      <c r="H22" s="23">
        <v>199</v>
      </c>
      <c r="I22" s="23">
        <v>199</v>
      </c>
      <c r="J22" s="23">
        <v>199</v>
      </c>
      <c r="K22" s="1"/>
    </row>
    <row r="23" spans="1:11" ht="15" customHeight="1" x14ac:dyDescent="0.25">
      <c r="A23" s="9" t="s">
        <v>75</v>
      </c>
      <c r="B23" s="12">
        <f t="shared" ref="B23:J23" si="5">B21*B22</f>
        <v>103480</v>
      </c>
      <c r="C23" s="12">
        <f t="shared" si="5"/>
        <v>119400</v>
      </c>
      <c r="D23" s="12">
        <f t="shared" si="5"/>
        <v>135320</v>
      </c>
      <c r="E23" s="12">
        <f t="shared" si="5"/>
        <v>151240</v>
      </c>
      <c r="F23" s="12">
        <f t="shared" si="5"/>
        <v>167160</v>
      </c>
      <c r="G23" s="12">
        <f t="shared" si="5"/>
        <v>179100</v>
      </c>
      <c r="H23" s="12">
        <f t="shared" si="5"/>
        <v>191040</v>
      </c>
      <c r="I23" s="12">
        <f t="shared" si="5"/>
        <v>202980</v>
      </c>
      <c r="J23" s="12">
        <f t="shared" si="5"/>
        <v>214920</v>
      </c>
      <c r="K23" s="12">
        <f>SUM(B23:J23)+208950</f>
        <v>1673590</v>
      </c>
    </row>
    <row r="24" spans="1:11" ht="15" customHeight="1" x14ac:dyDescent="0.25">
      <c r="A24" s="21" t="s">
        <v>76</v>
      </c>
      <c r="B24" s="23">
        <v>24000</v>
      </c>
      <c r="C24" s="23">
        <v>27000</v>
      </c>
      <c r="D24" s="23">
        <v>30000</v>
      </c>
      <c r="E24" s="23">
        <v>33000</v>
      </c>
      <c r="F24" s="23">
        <v>37000</v>
      </c>
      <c r="G24" s="23">
        <v>40000</v>
      </c>
      <c r="H24" s="23">
        <v>43000</v>
      </c>
      <c r="I24" s="23">
        <v>46000</v>
      </c>
      <c r="J24" s="23">
        <v>50000</v>
      </c>
      <c r="K24" s="26">
        <f>SUM(B24:J24)+60000</f>
        <v>390000</v>
      </c>
    </row>
    <row r="25" spans="1:11" ht="15" customHeight="1" x14ac:dyDescent="0.25">
      <c r="A25" s="21" t="s">
        <v>77</v>
      </c>
      <c r="B25" s="17">
        <v>120</v>
      </c>
      <c r="C25" s="17">
        <v>160</v>
      </c>
      <c r="D25" s="17">
        <v>200</v>
      </c>
      <c r="E25" s="17">
        <v>240</v>
      </c>
      <c r="F25" s="17">
        <v>280</v>
      </c>
      <c r="G25" s="17">
        <v>320</v>
      </c>
      <c r="H25" s="17">
        <v>360</v>
      </c>
      <c r="I25" s="17">
        <v>400</v>
      </c>
      <c r="J25" s="17">
        <v>440</v>
      </c>
      <c r="K25" s="1"/>
    </row>
    <row r="26" spans="1:11" ht="15" customHeight="1" x14ac:dyDescent="0.25">
      <c r="A26" s="21" t="s">
        <v>78</v>
      </c>
      <c r="B26" s="23">
        <v>820</v>
      </c>
      <c r="C26" s="23">
        <v>830</v>
      </c>
      <c r="D26" s="23">
        <v>840</v>
      </c>
      <c r="E26" s="23">
        <v>850</v>
      </c>
      <c r="F26" s="23">
        <v>860</v>
      </c>
      <c r="G26" s="23">
        <v>870</v>
      </c>
      <c r="H26" s="23">
        <v>880</v>
      </c>
      <c r="I26" s="23">
        <v>890</v>
      </c>
      <c r="J26" s="23">
        <v>900</v>
      </c>
      <c r="K26" s="1"/>
    </row>
    <row r="27" spans="1:11" ht="15" customHeight="1" x14ac:dyDescent="0.25">
      <c r="A27" s="21" t="s">
        <v>79</v>
      </c>
      <c r="B27" s="19">
        <v>0.12</v>
      </c>
      <c r="C27" s="19">
        <v>0.12</v>
      </c>
      <c r="D27" s="19">
        <v>0.12</v>
      </c>
      <c r="E27" s="19">
        <v>0.12</v>
      </c>
      <c r="F27" s="19">
        <v>0.12</v>
      </c>
      <c r="G27" s="19">
        <v>0.12</v>
      </c>
      <c r="H27" s="19">
        <v>0.12</v>
      </c>
      <c r="I27" s="19">
        <v>0.12</v>
      </c>
      <c r="J27" s="19">
        <v>0.12</v>
      </c>
      <c r="K27" s="1"/>
    </row>
    <row r="28" spans="1:11" ht="15" customHeight="1" x14ac:dyDescent="0.25">
      <c r="A28" s="9" t="s">
        <v>80</v>
      </c>
      <c r="B28" s="12">
        <f t="shared" ref="B28:J28" si="6">ROUND(B25*B26*B27,0)</f>
        <v>11808</v>
      </c>
      <c r="C28" s="12">
        <f t="shared" si="6"/>
        <v>15936</v>
      </c>
      <c r="D28" s="12">
        <f t="shared" si="6"/>
        <v>20160</v>
      </c>
      <c r="E28" s="12">
        <f t="shared" si="6"/>
        <v>24480</v>
      </c>
      <c r="F28" s="12">
        <f t="shared" si="6"/>
        <v>28896</v>
      </c>
      <c r="G28" s="12">
        <f t="shared" si="6"/>
        <v>33408</v>
      </c>
      <c r="H28" s="12">
        <f t="shared" si="6"/>
        <v>38016</v>
      </c>
      <c r="I28" s="12">
        <f t="shared" si="6"/>
        <v>42720</v>
      </c>
      <c r="J28" s="12">
        <f t="shared" si="6"/>
        <v>47520</v>
      </c>
      <c r="K28" s="12">
        <f>SUM(B28:J28)+11520</f>
        <v>274464</v>
      </c>
    </row>
    <row r="29" spans="1:11" ht="16.5" customHeight="1" x14ac:dyDescent="0.25">
      <c r="A29" s="85" t="s">
        <v>81</v>
      </c>
      <c r="B29" s="85"/>
      <c r="C29" s="85"/>
      <c r="D29" s="85"/>
      <c r="E29" s="85"/>
      <c r="F29" s="85"/>
      <c r="G29" s="85"/>
      <c r="H29" s="85"/>
      <c r="I29" s="85"/>
      <c r="J29" s="85"/>
      <c r="K29" s="85"/>
    </row>
    <row r="30" spans="1:11" ht="15" customHeight="1" x14ac:dyDescent="0.25">
      <c r="A30" s="9" t="s">
        <v>82</v>
      </c>
      <c r="B30" s="12">
        <f t="shared" ref="B30:J30" si="7">B15+B28+B20+B23+B24</f>
        <v>463021</v>
      </c>
      <c r="C30" s="12">
        <f t="shared" si="7"/>
        <v>534331</v>
      </c>
      <c r="D30" s="12">
        <f t="shared" si="7"/>
        <v>611454</v>
      </c>
      <c r="E30" s="12">
        <f t="shared" si="7"/>
        <v>732428</v>
      </c>
      <c r="F30" s="12">
        <f t="shared" si="7"/>
        <v>805827</v>
      </c>
      <c r="G30" s="12">
        <f t="shared" si="7"/>
        <v>897031</v>
      </c>
      <c r="H30" s="12">
        <f t="shared" si="7"/>
        <v>1006707</v>
      </c>
      <c r="I30" s="12">
        <f t="shared" si="7"/>
        <v>1107002</v>
      </c>
      <c r="J30" s="12">
        <f t="shared" si="7"/>
        <v>1202527</v>
      </c>
      <c r="K30" s="27">
        <f>SUM(B30:J30)+925879</f>
        <v>8286207</v>
      </c>
    </row>
    <row r="31" spans="1:11" ht="15" customHeight="1" x14ac:dyDescent="0.25">
      <c r="A31" s="28" t="s">
        <v>83</v>
      </c>
      <c r="B31" s="29">
        <f t="shared" ref="B31:J31" si="8">IFERROR(B30/B10,0)</f>
        <v>67.250689905591869</v>
      </c>
      <c r="C31" s="29">
        <f t="shared" si="8"/>
        <v>69.565290977737277</v>
      </c>
      <c r="D31" s="29">
        <f t="shared" si="8"/>
        <v>70.590394827984298</v>
      </c>
      <c r="E31" s="29">
        <f t="shared" si="8"/>
        <v>76.597782890608656</v>
      </c>
      <c r="F31" s="29">
        <f t="shared" si="8"/>
        <v>76.367228961334348</v>
      </c>
      <c r="G31" s="29">
        <f t="shared" si="8"/>
        <v>78.611077030935064</v>
      </c>
      <c r="H31" s="29">
        <f t="shared" si="8"/>
        <v>80.749739311783102</v>
      </c>
      <c r="I31" s="29">
        <f t="shared" si="8"/>
        <v>82.90907729179149</v>
      </c>
      <c r="J31" s="29">
        <f t="shared" si="8"/>
        <v>83.271726334741359</v>
      </c>
      <c r="K31" s="1"/>
    </row>
    <row r="32" spans="1:11" ht="15" customHeight="1" x14ac:dyDescent="0.25">
      <c r="A32" s="28" t="s">
        <v>84</v>
      </c>
      <c r="B32" s="30">
        <f>IFERROR(B30/382286-1,0)</f>
        <v>0.21119005142746539</v>
      </c>
      <c r="C32" s="30">
        <f t="shared" ref="C32:J32" si="9">IFERROR(C30/B30-1,0)</f>
        <v>0.15401029326963567</v>
      </c>
      <c r="D32" s="30">
        <f t="shared" si="9"/>
        <v>0.14433562716742987</v>
      </c>
      <c r="E32" s="30">
        <f t="shared" si="9"/>
        <v>0.1978464447039352</v>
      </c>
      <c r="F32" s="30">
        <f t="shared" si="9"/>
        <v>0.10021326328321689</v>
      </c>
      <c r="G32" s="30">
        <f t="shared" si="9"/>
        <v>0.11318062065430912</v>
      </c>
      <c r="H32" s="30">
        <f t="shared" si="9"/>
        <v>0.12226556272860134</v>
      </c>
      <c r="I32" s="30">
        <f t="shared" si="9"/>
        <v>9.9626803032063949E-2</v>
      </c>
      <c r="J32" s="30">
        <f t="shared" si="9"/>
        <v>8.6291623682703378E-2</v>
      </c>
      <c r="K32" s="1"/>
    </row>
    <row r="35" spans="1:11" ht="13.5" customHeight="1" x14ac:dyDescent="0.25">
      <c r="A35" s="81" t="s">
        <v>226</v>
      </c>
      <c r="B35" s="81"/>
      <c r="C35" s="81"/>
      <c r="D35" s="81"/>
      <c r="E35" s="81"/>
      <c r="F35" s="79" t="s">
        <v>11</v>
      </c>
      <c r="G35" s="79"/>
      <c r="H35" s="79"/>
      <c r="I35" s="79"/>
      <c r="J35" s="79"/>
      <c r="K35" s="79"/>
    </row>
  </sheetData>
  <mergeCells count="9">
    <mergeCell ref="A16:K16"/>
    <mergeCell ref="A29:K29"/>
    <mergeCell ref="A35:E35"/>
    <mergeCell ref="F35:K35"/>
    <mergeCell ref="A1:K1"/>
    <mergeCell ref="A2:K2"/>
    <mergeCell ref="A4:K4"/>
    <mergeCell ref="A8:K8"/>
    <mergeCell ref="A11:K1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3"/>
  <sheetViews>
    <sheetView zoomScaleNormal="100" workbookViewId="0">
      <selection activeCell="A53" sqref="A53:D53"/>
    </sheetView>
  </sheetViews>
  <sheetFormatPr defaultColWidth="8.7109375" defaultRowHeight="15" x14ac:dyDescent="0.25"/>
  <cols>
    <col min="1" max="1" width="47.5703125" customWidth="1"/>
    <col min="2" max="4" width="12" customWidth="1"/>
    <col min="5" max="7" width="14" customWidth="1"/>
    <col min="8" max="8" width="11.28515625" bestFit="1" customWidth="1"/>
  </cols>
  <sheetData>
    <row r="1" spans="1:8" ht="30" customHeight="1" x14ac:dyDescent="0.25">
      <c r="A1" s="95" t="s">
        <v>85</v>
      </c>
      <c r="B1" s="95"/>
      <c r="C1" s="95"/>
      <c r="D1" s="95"/>
      <c r="E1" s="95"/>
      <c r="F1" s="95"/>
      <c r="G1" s="95"/>
      <c r="H1" s="95"/>
    </row>
    <row r="2" spans="1:8" ht="21.75" customHeight="1" x14ac:dyDescent="0.25">
      <c r="A2" s="83" t="s">
        <v>230</v>
      </c>
      <c r="B2" s="83"/>
      <c r="C2" s="83"/>
      <c r="D2" s="83"/>
      <c r="E2" s="83"/>
      <c r="F2" s="83"/>
      <c r="G2" s="83"/>
      <c r="H2" s="83"/>
    </row>
    <row r="3" spans="1:8" ht="16.5" customHeight="1" x14ac:dyDescent="0.25">
      <c r="A3" s="80" t="s">
        <v>86</v>
      </c>
      <c r="B3" s="80"/>
      <c r="C3" s="80"/>
      <c r="D3" s="80"/>
      <c r="E3" s="80"/>
      <c r="F3" s="80"/>
      <c r="G3" s="80"/>
      <c r="H3" s="80"/>
    </row>
    <row r="4" spans="1:8" ht="18" customHeight="1" x14ac:dyDescent="0.25">
      <c r="A4" s="31" t="s">
        <v>87</v>
      </c>
      <c r="B4" s="32" t="s">
        <v>88</v>
      </c>
      <c r="C4" s="33" t="s">
        <v>89</v>
      </c>
      <c r="D4" s="34" t="s">
        <v>90</v>
      </c>
      <c r="E4" s="35"/>
      <c r="F4" s="31" t="s">
        <v>91</v>
      </c>
      <c r="G4" s="31" t="s">
        <v>92</v>
      </c>
      <c r="H4" s="35"/>
    </row>
    <row r="5" spans="1:8" ht="25.5" customHeight="1" x14ac:dyDescent="0.25">
      <c r="A5" s="6" t="s">
        <v>93</v>
      </c>
      <c r="B5" s="36" t="s">
        <v>94</v>
      </c>
      <c r="C5" s="37" t="s">
        <v>95</v>
      </c>
      <c r="D5" s="38" t="s">
        <v>96</v>
      </c>
      <c r="E5" s="1"/>
      <c r="F5" s="39" t="s">
        <v>97</v>
      </c>
      <c r="G5" s="92" t="s">
        <v>98</v>
      </c>
      <c r="H5" s="92"/>
    </row>
    <row r="6" spans="1:8" ht="23.25" customHeight="1" x14ac:dyDescent="0.25">
      <c r="A6" s="6" t="s">
        <v>20</v>
      </c>
      <c r="B6" s="36" t="s">
        <v>99</v>
      </c>
      <c r="C6" s="37" t="s">
        <v>100</v>
      </c>
      <c r="D6" s="38" t="s">
        <v>101</v>
      </c>
      <c r="E6" s="1"/>
      <c r="F6" s="39" t="s">
        <v>102</v>
      </c>
      <c r="G6" s="92" t="s">
        <v>103</v>
      </c>
      <c r="H6" s="92"/>
    </row>
    <row r="7" spans="1:8" ht="18" customHeight="1" x14ac:dyDescent="0.25">
      <c r="A7" s="6" t="s">
        <v>104</v>
      </c>
      <c r="B7" s="36" t="s">
        <v>105</v>
      </c>
      <c r="C7" s="37" t="s">
        <v>106</v>
      </c>
      <c r="D7" s="38" t="s">
        <v>107</v>
      </c>
      <c r="E7" s="1"/>
      <c r="F7" s="39" t="s">
        <v>108</v>
      </c>
      <c r="G7" s="92" t="s">
        <v>109</v>
      </c>
      <c r="H7" s="92"/>
    </row>
    <row r="8" spans="1:8" ht="18" customHeight="1" x14ac:dyDescent="0.25">
      <c r="A8" s="6" t="s">
        <v>43</v>
      </c>
      <c r="B8" s="36" t="s">
        <v>110</v>
      </c>
      <c r="C8" s="37" t="s">
        <v>111</v>
      </c>
      <c r="D8" s="38" t="s">
        <v>112</v>
      </c>
      <c r="E8" s="1"/>
      <c r="F8" s="39" t="s">
        <v>113</v>
      </c>
      <c r="G8" s="92" t="s">
        <v>114</v>
      </c>
      <c r="H8" s="92"/>
    </row>
    <row r="9" spans="1:8" ht="18" customHeight="1" x14ac:dyDescent="0.25">
      <c r="A9" s="6" t="s">
        <v>42</v>
      </c>
      <c r="B9" s="36" t="s">
        <v>115</v>
      </c>
      <c r="C9" s="37" t="s">
        <v>116</v>
      </c>
      <c r="D9" s="38" t="s">
        <v>117</v>
      </c>
      <c r="E9" s="1"/>
      <c r="F9" s="39" t="s">
        <v>113</v>
      </c>
      <c r="G9" s="92" t="s">
        <v>118</v>
      </c>
      <c r="H9" s="92"/>
    </row>
    <row r="10" spans="1:8" ht="21" customHeight="1" x14ac:dyDescent="0.25">
      <c r="A10" s="6" t="s">
        <v>119</v>
      </c>
      <c r="B10" s="36" t="s">
        <v>120</v>
      </c>
      <c r="C10" s="37" t="s">
        <v>120</v>
      </c>
      <c r="D10" s="38" t="s">
        <v>121</v>
      </c>
      <c r="E10" s="1"/>
      <c r="F10" s="39" t="s">
        <v>97</v>
      </c>
      <c r="G10" s="92" t="s">
        <v>122</v>
      </c>
      <c r="H10" s="92"/>
    </row>
    <row r="11" spans="1:8" ht="18" customHeight="1" x14ac:dyDescent="0.25">
      <c r="A11" s="6" t="s">
        <v>123</v>
      </c>
      <c r="B11" s="36" t="s">
        <v>124</v>
      </c>
      <c r="C11" s="37" t="s">
        <v>125</v>
      </c>
      <c r="D11" s="38" t="s">
        <v>126</v>
      </c>
      <c r="E11" s="1"/>
      <c r="F11" s="39" t="s">
        <v>108</v>
      </c>
      <c r="G11" s="92" t="s">
        <v>127</v>
      </c>
      <c r="H11" s="92"/>
    </row>
    <row r="12" spans="1:8" ht="18" customHeight="1" x14ac:dyDescent="0.25">
      <c r="A12" s="6" t="s">
        <v>128</v>
      </c>
      <c r="B12" s="36" t="s">
        <v>129</v>
      </c>
      <c r="C12" s="37" t="s">
        <v>130</v>
      </c>
      <c r="D12" s="38" t="s">
        <v>131</v>
      </c>
      <c r="E12" s="1"/>
      <c r="F12" s="39" t="s">
        <v>108</v>
      </c>
      <c r="G12" s="92" t="s">
        <v>132</v>
      </c>
      <c r="H12" s="92"/>
    </row>
    <row r="14" spans="1:8" ht="21.75" customHeight="1" x14ac:dyDescent="0.25">
      <c r="A14" s="93" t="s">
        <v>133</v>
      </c>
      <c r="B14" s="93"/>
      <c r="C14" s="93"/>
      <c r="D14" s="93"/>
      <c r="E14" s="93"/>
      <c r="F14" s="93"/>
      <c r="G14" s="93"/>
      <c r="H14" s="93"/>
    </row>
    <row r="15" spans="1:8" ht="31.5" customHeight="1" x14ac:dyDescent="0.25">
      <c r="A15" s="91" t="s">
        <v>134</v>
      </c>
      <c r="B15" s="91"/>
      <c r="C15" s="91"/>
      <c r="D15" s="91"/>
      <c r="E15" s="91"/>
      <c r="F15" s="91"/>
      <c r="G15" s="91"/>
      <c r="H15" s="91"/>
    </row>
    <row r="16" spans="1:8" ht="18" customHeight="1" x14ac:dyDescent="0.25">
      <c r="A16" s="31" t="s">
        <v>135</v>
      </c>
      <c r="B16" s="32" t="s">
        <v>47</v>
      </c>
      <c r="C16" s="32" t="s">
        <v>48</v>
      </c>
      <c r="D16" s="32" t="s">
        <v>49</v>
      </c>
      <c r="E16" s="40" t="s">
        <v>136</v>
      </c>
      <c r="F16" s="40" t="s">
        <v>137</v>
      </c>
      <c r="G16" s="40" t="s">
        <v>138</v>
      </c>
      <c r="H16" s="40" t="s">
        <v>139</v>
      </c>
    </row>
    <row r="17" spans="1:8" ht="15" customHeight="1" x14ac:dyDescent="0.25">
      <c r="A17" s="6" t="s">
        <v>140</v>
      </c>
      <c r="B17" s="7">
        <v>8100</v>
      </c>
      <c r="C17" s="7">
        <v>8748</v>
      </c>
      <c r="D17" s="7">
        <v>9448</v>
      </c>
      <c r="E17" s="7">
        <v>26296</v>
      </c>
      <c r="F17" s="7">
        <v>32942</v>
      </c>
      <c r="G17" s="7">
        <v>39730</v>
      </c>
      <c r="H17" s="7">
        <v>98968</v>
      </c>
    </row>
    <row r="18" spans="1:8" ht="15" customHeight="1" x14ac:dyDescent="0.25">
      <c r="A18" s="6" t="s">
        <v>21</v>
      </c>
      <c r="B18" s="7">
        <v>6885</v>
      </c>
      <c r="C18" s="7">
        <v>7611</v>
      </c>
      <c r="D18" s="7">
        <v>8503</v>
      </c>
      <c r="E18" s="7">
        <v>22999</v>
      </c>
      <c r="F18" s="7">
        <v>30879</v>
      </c>
      <c r="G18" s="7">
        <v>39091</v>
      </c>
      <c r="H18" s="7">
        <v>92969</v>
      </c>
    </row>
    <row r="19" spans="1:8" ht="15" customHeight="1" x14ac:dyDescent="0.25">
      <c r="A19" s="6" t="s">
        <v>141</v>
      </c>
      <c r="B19" s="11">
        <v>141084</v>
      </c>
      <c r="C19" s="11">
        <v>156961</v>
      </c>
      <c r="D19" s="11">
        <v>176473</v>
      </c>
      <c r="E19" s="11">
        <v>474518</v>
      </c>
      <c r="F19" s="11">
        <v>649212</v>
      </c>
      <c r="G19" s="11">
        <v>839071</v>
      </c>
      <c r="H19" s="11">
        <v>1962801</v>
      </c>
    </row>
    <row r="20" spans="1:8" ht="15" customHeight="1" x14ac:dyDescent="0.25">
      <c r="A20" s="6" t="s">
        <v>142</v>
      </c>
      <c r="B20" s="11">
        <v>11808</v>
      </c>
      <c r="C20" s="11">
        <v>15936</v>
      </c>
      <c r="D20" s="11">
        <v>20160</v>
      </c>
      <c r="E20" s="11">
        <v>47904</v>
      </c>
      <c r="F20" s="11">
        <v>86784</v>
      </c>
      <c r="G20" s="11">
        <v>128256</v>
      </c>
      <c r="H20" s="11">
        <v>262944</v>
      </c>
    </row>
    <row r="21" spans="1:8" ht="15" customHeight="1" x14ac:dyDescent="0.25">
      <c r="A21" s="6" t="s">
        <v>143</v>
      </c>
      <c r="B21" s="11">
        <v>187200</v>
      </c>
      <c r="C21" s="11">
        <v>218700</v>
      </c>
      <c r="D21" s="11">
        <v>252000</v>
      </c>
      <c r="E21" s="11">
        <v>657900</v>
      </c>
      <c r="F21" s="11">
        <v>1078200</v>
      </c>
      <c r="G21" s="11">
        <v>1548000</v>
      </c>
      <c r="H21" s="11">
        <v>3284100</v>
      </c>
    </row>
    <row r="22" spans="1:8" ht="15" customHeight="1" x14ac:dyDescent="0.25">
      <c r="A22" s="6" t="s">
        <v>144</v>
      </c>
      <c r="B22" s="11">
        <v>103480</v>
      </c>
      <c r="C22" s="11">
        <v>119400</v>
      </c>
      <c r="D22" s="11">
        <v>135320</v>
      </c>
      <c r="E22" s="11">
        <v>358200</v>
      </c>
      <c r="F22" s="11">
        <v>497500</v>
      </c>
      <c r="G22" s="11">
        <v>608940</v>
      </c>
      <c r="H22" s="11">
        <v>1464640</v>
      </c>
    </row>
    <row r="23" spans="1:8" ht="15" customHeight="1" x14ac:dyDescent="0.25">
      <c r="A23" s="6" t="s">
        <v>29</v>
      </c>
      <c r="B23" s="11">
        <v>24000</v>
      </c>
      <c r="C23" s="11">
        <v>27000</v>
      </c>
      <c r="D23" s="11">
        <v>30000</v>
      </c>
      <c r="E23" s="11">
        <v>81000</v>
      </c>
      <c r="F23" s="11">
        <v>110000</v>
      </c>
      <c r="G23" s="11">
        <v>139000</v>
      </c>
      <c r="H23" s="11">
        <v>330000</v>
      </c>
    </row>
    <row r="24" spans="1:8" ht="15" customHeight="1" x14ac:dyDescent="0.25">
      <c r="A24" s="9" t="s">
        <v>30</v>
      </c>
      <c r="B24" s="12">
        <v>467572</v>
      </c>
      <c r="C24" s="12">
        <v>537997</v>
      </c>
      <c r="D24" s="12">
        <v>613953</v>
      </c>
      <c r="E24" s="12">
        <v>1619522</v>
      </c>
      <c r="F24" s="12">
        <v>2421696</v>
      </c>
      <c r="G24" s="12">
        <v>3263267</v>
      </c>
      <c r="H24" s="12">
        <v>8230364</v>
      </c>
    </row>
    <row r="27" spans="1:8" ht="21.75" customHeight="1" x14ac:dyDescent="0.25">
      <c r="A27" s="94" t="s">
        <v>145</v>
      </c>
      <c r="B27" s="94"/>
      <c r="C27" s="94"/>
      <c r="D27" s="94"/>
      <c r="E27" s="94"/>
      <c r="F27" s="94"/>
      <c r="G27" s="94"/>
      <c r="H27" s="94"/>
    </row>
    <row r="28" spans="1:8" ht="31.5" customHeight="1" x14ac:dyDescent="0.25">
      <c r="A28" s="91" t="s">
        <v>146</v>
      </c>
      <c r="B28" s="91"/>
      <c r="C28" s="91"/>
      <c r="D28" s="91"/>
      <c r="E28" s="91"/>
      <c r="F28" s="91"/>
      <c r="G28" s="91"/>
      <c r="H28" s="91"/>
    </row>
    <row r="29" spans="1:8" ht="18" customHeight="1" x14ac:dyDescent="0.25">
      <c r="A29" s="31" t="s">
        <v>135</v>
      </c>
      <c r="B29" s="33" t="s">
        <v>47</v>
      </c>
      <c r="C29" s="33" t="s">
        <v>48</v>
      </c>
      <c r="D29" s="33" t="s">
        <v>49</v>
      </c>
      <c r="E29" s="40" t="s">
        <v>136</v>
      </c>
      <c r="F29" s="40" t="s">
        <v>137</v>
      </c>
      <c r="G29" s="40" t="s">
        <v>138</v>
      </c>
      <c r="H29" s="40" t="s">
        <v>139</v>
      </c>
    </row>
    <row r="30" spans="1:8" ht="15" customHeight="1" x14ac:dyDescent="0.25">
      <c r="A30" s="6" t="s">
        <v>140</v>
      </c>
      <c r="B30" s="7">
        <v>8700</v>
      </c>
      <c r="C30" s="7">
        <v>9918</v>
      </c>
      <c r="D30" s="7">
        <v>11306</v>
      </c>
      <c r="E30" s="7">
        <v>29924</v>
      </c>
      <c r="F30" s="7">
        <v>44140</v>
      </c>
      <c r="G30" s="7">
        <v>62817</v>
      </c>
      <c r="H30" s="7">
        <v>136881</v>
      </c>
    </row>
    <row r="31" spans="1:8" ht="15" customHeight="1" x14ac:dyDescent="0.25">
      <c r="A31" s="6" t="s">
        <v>21</v>
      </c>
      <c r="B31" s="7">
        <v>8700</v>
      </c>
      <c r="C31" s="7">
        <v>10414</v>
      </c>
      <c r="D31" s="7">
        <v>12437</v>
      </c>
      <c r="E31" s="7">
        <v>31551</v>
      </c>
      <c r="F31" s="7">
        <v>53152</v>
      </c>
      <c r="G31" s="7">
        <v>81290</v>
      </c>
      <c r="H31" s="7">
        <v>165993</v>
      </c>
    </row>
    <row r="32" spans="1:8" ht="15" customHeight="1" x14ac:dyDescent="0.25">
      <c r="A32" s="6" t="s">
        <v>141</v>
      </c>
      <c r="B32" s="11">
        <v>180562</v>
      </c>
      <c r="C32" s="11">
        <v>218871</v>
      </c>
      <c r="D32" s="11">
        <v>264655</v>
      </c>
      <c r="E32" s="11">
        <v>664088</v>
      </c>
      <c r="F32" s="11">
        <v>1168281</v>
      </c>
      <c r="G32" s="11">
        <v>1859690</v>
      </c>
      <c r="H32" s="11">
        <v>3692059</v>
      </c>
    </row>
    <row r="33" spans="1:8" ht="15" customHeight="1" x14ac:dyDescent="0.25">
      <c r="A33" s="6" t="s">
        <v>142</v>
      </c>
      <c r="B33" s="11">
        <v>16531</v>
      </c>
      <c r="C33" s="11">
        <v>22310</v>
      </c>
      <c r="D33" s="11">
        <v>28224</v>
      </c>
      <c r="E33" s="11">
        <v>67065</v>
      </c>
      <c r="F33" s="11">
        <v>121497</v>
      </c>
      <c r="G33" s="11">
        <v>179558</v>
      </c>
      <c r="H33" s="11">
        <v>368120</v>
      </c>
    </row>
    <row r="34" spans="1:8" ht="15" customHeight="1" x14ac:dyDescent="0.25">
      <c r="A34" s="6" t="s">
        <v>143</v>
      </c>
      <c r="B34" s="11">
        <v>252000</v>
      </c>
      <c r="C34" s="11">
        <v>324000</v>
      </c>
      <c r="D34" s="11">
        <v>403200</v>
      </c>
      <c r="E34" s="11">
        <v>979200</v>
      </c>
      <c r="F34" s="11">
        <v>1924200</v>
      </c>
      <c r="G34" s="11">
        <v>3169800</v>
      </c>
      <c r="H34" s="11">
        <v>6073200</v>
      </c>
    </row>
    <row r="35" spans="1:8" ht="15" customHeight="1" x14ac:dyDescent="0.25">
      <c r="A35" s="6" t="s">
        <v>144</v>
      </c>
      <c r="B35" s="11">
        <v>123380</v>
      </c>
      <c r="C35" s="11">
        <v>147260</v>
      </c>
      <c r="D35" s="11">
        <v>175120</v>
      </c>
      <c r="E35" s="11">
        <v>445760</v>
      </c>
      <c r="F35" s="11">
        <v>718390</v>
      </c>
      <c r="G35" s="11">
        <v>1038780</v>
      </c>
      <c r="H35" s="11">
        <v>2202930</v>
      </c>
    </row>
    <row r="36" spans="1:8" ht="15" customHeight="1" x14ac:dyDescent="0.25">
      <c r="A36" s="6" t="s">
        <v>29</v>
      </c>
      <c r="B36" s="11">
        <v>30000</v>
      </c>
      <c r="C36" s="11">
        <v>35000</v>
      </c>
      <c r="D36" s="11">
        <v>42000</v>
      </c>
      <c r="E36" s="11">
        <v>107000</v>
      </c>
      <c r="F36" s="11">
        <v>174000</v>
      </c>
      <c r="G36" s="11">
        <v>246000</v>
      </c>
      <c r="H36" s="11">
        <v>527000</v>
      </c>
    </row>
    <row r="37" spans="1:8" ht="15" customHeight="1" x14ac:dyDescent="0.25">
      <c r="A37" s="9" t="s">
        <v>30</v>
      </c>
      <c r="B37" s="12">
        <v>602473</v>
      </c>
      <c r="C37" s="12">
        <v>747441</v>
      </c>
      <c r="D37" s="12">
        <v>913199</v>
      </c>
      <c r="E37" s="12">
        <v>2263113</v>
      </c>
      <c r="F37" s="12">
        <v>4106368</v>
      </c>
      <c r="G37" s="12">
        <v>6493828</v>
      </c>
      <c r="H37" s="12">
        <v>13789188</v>
      </c>
    </row>
    <row r="40" spans="1:8" ht="21.75" customHeight="1" x14ac:dyDescent="0.25">
      <c r="A40" s="90" t="s">
        <v>147</v>
      </c>
      <c r="B40" s="90"/>
      <c r="C40" s="90"/>
      <c r="D40" s="90"/>
      <c r="E40" s="90"/>
      <c r="F40" s="90"/>
      <c r="G40" s="90"/>
      <c r="H40" s="90"/>
    </row>
    <row r="41" spans="1:8" ht="31.5" customHeight="1" x14ac:dyDescent="0.25">
      <c r="A41" s="91" t="s">
        <v>148</v>
      </c>
      <c r="B41" s="91"/>
      <c r="C41" s="91"/>
      <c r="D41" s="91"/>
      <c r="E41" s="91"/>
      <c r="F41" s="91"/>
      <c r="G41" s="91"/>
      <c r="H41" s="91"/>
    </row>
    <row r="42" spans="1:8" ht="18" customHeight="1" x14ac:dyDescent="0.25">
      <c r="A42" s="31" t="s">
        <v>135</v>
      </c>
      <c r="B42" s="34" t="s">
        <v>47</v>
      </c>
      <c r="C42" s="34" t="s">
        <v>48</v>
      </c>
      <c r="D42" s="34" t="s">
        <v>49</v>
      </c>
      <c r="E42" s="40" t="s">
        <v>136</v>
      </c>
      <c r="F42" s="40" t="s">
        <v>137</v>
      </c>
      <c r="G42" s="40" t="s">
        <v>138</v>
      </c>
      <c r="H42" s="40" t="s">
        <v>139</v>
      </c>
    </row>
    <row r="43" spans="1:8" ht="15" customHeight="1" x14ac:dyDescent="0.25">
      <c r="A43" s="6" t="s">
        <v>140</v>
      </c>
      <c r="B43" s="7">
        <v>7800</v>
      </c>
      <c r="C43" s="7">
        <v>8190</v>
      </c>
      <c r="D43" s="7">
        <v>8600</v>
      </c>
      <c r="E43" s="7">
        <v>24590</v>
      </c>
      <c r="F43" s="7">
        <v>28366</v>
      </c>
      <c r="G43" s="7">
        <v>32155</v>
      </c>
      <c r="H43" s="7">
        <v>85111</v>
      </c>
    </row>
    <row r="44" spans="1:8" ht="15" customHeight="1" x14ac:dyDescent="0.25">
      <c r="A44" s="6" t="s">
        <v>21</v>
      </c>
      <c r="B44" s="7">
        <v>5460</v>
      </c>
      <c r="C44" s="7">
        <v>5897</v>
      </c>
      <c r="D44" s="7">
        <v>6364</v>
      </c>
      <c r="E44" s="7">
        <v>17721</v>
      </c>
      <c r="F44" s="7">
        <v>21184</v>
      </c>
      <c r="G44" s="7">
        <v>24768</v>
      </c>
      <c r="H44" s="7">
        <v>63673</v>
      </c>
    </row>
    <row r="45" spans="1:8" ht="15" customHeight="1" x14ac:dyDescent="0.25">
      <c r="A45" s="6" t="s">
        <v>141</v>
      </c>
      <c r="B45" s="11">
        <v>100640</v>
      </c>
      <c r="C45" s="11">
        <v>108695</v>
      </c>
      <c r="D45" s="11">
        <v>118085</v>
      </c>
      <c r="E45" s="11">
        <v>327420</v>
      </c>
      <c r="F45" s="11">
        <v>394853</v>
      </c>
      <c r="G45" s="11">
        <v>466727</v>
      </c>
      <c r="H45" s="11">
        <v>1189000</v>
      </c>
    </row>
    <row r="46" spans="1:8" ht="15" customHeight="1" x14ac:dyDescent="0.25">
      <c r="A46" s="6" t="s">
        <v>142</v>
      </c>
      <c r="B46" s="11">
        <v>8266</v>
      </c>
      <c r="C46" s="11">
        <v>11155</v>
      </c>
      <c r="D46" s="11">
        <v>14112</v>
      </c>
      <c r="E46" s="11">
        <v>33533</v>
      </c>
      <c r="F46" s="11">
        <v>60749</v>
      </c>
      <c r="G46" s="11">
        <v>89779</v>
      </c>
      <c r="H46" s="11">
        <v>184061</v>
      </c>
    </row>
    <row r="47" spans="1:8" ht="15" customHeight="1" x14ac:dyDescent="0.25">
      <c r="A47" s="6" t="s">
        <v>143</v>
      </c>
      <c r="B47" s="11">
        <v>151200</v>
      </c>
      <c r="C47" s="11">
        <v>180000</v>
      </c>
      <c r="D47" s="11">
        <v>187200</v>
      </c>
      <c r="E47" s="11">
        <v>518400</v>
      </c>
      <c r="F47" s="11">
        <v>731700</v>
      </c>
      <c r="G47" s="11">
        <v>977400</v>
      </c>
      <c r="H47" s="11">
        <v>2227500</v>
      </c>
    </row>
    <row r="48" spans="1:8" ht="15" customHeight="1" x14ac:dyDescent="0.25">
      <c r="A48" s="6" t="s">
        <v>144</v>
      </c>
      <c r="B48" s="11">
        <v>89550</v>
      </c>
      <c r="C48" s="11">
        <v>99500</v>
      </c>
      <c r="D48" s="11">
        <v>109450</v>
      </c>
      <c r="E48" s="11">
        <v>298500</v>
      </c>
      <c r="F48" s="11">
        <v>398000</v>
      </c>
      <c r="G48" s="11">
        <v>501480</v>
      </c>
      <c r="H48" s="11">
        <v>1197980</v>
      </c>
    </row>
    <row r="49" spans="1:8" ht="15" customHeight="1" x14ac:dyDescent="0.25">
      <c r="A49" s="6" t="s">
        <v>29</v>
      </c>
      <c r="B49" s="11">
        <v>18000</v>
      </c>
      <c r="C49" s="11">
        <v>20000</v>
      </c>
      <c r="D49" s="11">
        <v>22000</v>
      </c>
      <c r="E49" s="11">
        <v>60000</v>
      </c>
      <c r="F49" s="11">
        <v>80000</v>
      </c>
      <c r="G49" s="11">
        <v>103000</v>
      </c>
      <c r="H49" s="11">
        <v>243000</v>
      </c>
    </row>
    <row r="50" spans="1:8" ht="15" customHeight="1" x14ac:dyDescent="0.25">
      <c r="A50" s="9" t="s">
        <v>30</v>
      </c>
      <c r="B50" s="12">
        <v>367656</v>
      </c>
      <c r="C50" s="12">
        <v>419350</v>
      </c>
      <c r="D50" s="12">
        <v>450847</v>
      </c>
      <c r="E50" s="12">
        <v>1237853</v>
      </c>
      <c r="F50" s="12">
        <v>1665302</v>
      </c>
      <c r="G50" s="12">
        <v>2138386</v>
      </c>
      <c r="H50" s="12">
        <v>5967420</v>
      </c>
    </row>
    <row r="53" spans="1:8" ht="13.5" customHeight="1" x14ac:dyDescent="0.25">
      <c r="A53" s="81" t="s">
        <v>226</v>
      </c>
      <c r="B53" s="81"/>
      <c r="C53" s="81"/>
      <c r="D53" s="81"/>
      <c r="E53" s="79" t="s">
        <v>11</v>
      </c>
      <c r="F53" s="79"/>
      <c r="G53" s="79"/>
      <c r="H53" s="79"/>
    </row>
  </sheetData>
  <mergeCells count="19">
    <mergeCell ref="A1:H1"/>
    <mergeCell ref="A2:H2"/>
    <mergeCell ref="A3:H3"/>
    <mergeCell ref="G5:H5"/>
    <mergeCell ref="G6:H6"/>
    <mergeCell ref="G7:H7"/>
    <mergeCell ref="G8:H8"/>
    <mergeCell ref="G9:H9"/>
    <mergeCell ref="G10:H10"/>
    <mergeCell ref="G11:H11"/>
    <mergeCell ref="A40:H40"/>
    <mergeCell ref="A41:H41"/>
    <mergeCell ref="A53:D53"/>
    <mergeCell ref="E53:H53"/>
    <mergeCell ref="G12:H12"/>
    <mergeCell ref="A14:H14"/>
    <mergeCell ref="A15:H15"/>
    <mergeCell ref="A27:H27"/>
    <mergeCell ref="A28:H28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8"/>
  <sheetViews>
    <sheetView showGridLines="0" zoomScaleNormal="100" workbookViewId="0">
      <selection activeCell="I42" sqref="I42"/>
    </sheetView>
  </sheetViews>
  <sheetFormatPr defaultColWidth="8.7109375" defaultRowHeight="15" x14ac:dyDescent="0.25"/>
  <cols>
    <col min="1" max="1" width="30" customWidth="1"/>
    <col min="2" max="4" width="11" customWidth="1"/>
    <col min="5" max="5" width="12" customWidth="1"/>
    <col min="6" max="8" width="11" customWidth="1"/>
    <col min="9" max="9" width="12" customWidth="1"/>
    <col min="10" max="12" width="11" customWidth="1"/>
    <col min="13" max="13" width="12" customWidth="1"/>
    <col min="14" max="16" width="11" customWidth="1"/>
    <col min="17" max="17" width="12" customWidth="1"/>
    <col min="18" max="18" width="14" customWidth="1"/>
    <col min="19" max="19" width="0.140625" hidden="1" customWidth="1"/>
    <col min="20" max="25" width="8.7109375" hidden="1" customWidth="1"/>
    <col min="26" max="26" width="4.7109375" hidden="1" customWidth="1"/>
    <col min="27" max="27" width="8.7109375" hidden="1" customWidth="1"/>
    <col min="28" max="28" width="5.85546875" hidden="1" customWidth="1"/>
  </cols>
  <sheetData>
    <row r="1" spans="1:28" ht="30" customHeight="1" x14ac:dyDescent="0.25">
      <c r="A1" s="86" t="s">
        <v>149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</row>
    <row r="2" spans="1:28" ht="18" customHeight="1" x14ac:dyDescent="0.25">
      <c r="A2" s="83" t="s">
        <v>232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</row>
    <row r="3" spans="1:28" ht="19.5" customHeight="1" x14ac:dyDescent="0.25">
      <c r="A3" s="40" t="s">
        <v>13</v>
      </c>
      <c r="B3" s="41" t="s">
        <v>150</v>
      </c>
      <c r="C3" s="41" t="s">
        <v>151</v>
      </c>
      <c r="D3" s="41" t="s">
        <v>152</v>
      </c>
      <c r="E3" s="42" t="s">
        <v>153</v>
      </c>
      <c r="F3" s="32" t="s">
        <v>47</v>
      </c>
      <c r="G3" s="32" t="s">
        <v>48</v>
      </c>
      <c r="H3" s="32" t="s">
        <v>49</v>
      </c>
      <c r="I3" s="32" t="s">
        <v>154</v>
      </c>
      <c r="J3" s="42" t="s">
        <v>50</v>
      </c>
      <c r="K3" s="42" t="s">
        <v>51</v>
      </c>
      <c r="L3" s="42" t="s">
        <v>52</v>
      </c>
      <c r="M3" s="43" t="s">
        <v>155</v>
      </c>
      <c r="N3" s="43" t="s">
        <v>53</v>
      </c>
      <c r="O3" s="43" t="s">
        <v>54</v>
      </c>
      <c r="P3" s="43" t="s">
        <v>55</v>
      </c>
      <c r="Q3" s="31" t="s">
        <v>156</v>
      </c>
      <c r="R3" s="40" t="s">
        <v>139</v>
      </c>
    </row>
    <row r="4" spans="1:28" ht="16.5" customHeight="1" x14ac:dyDescent="0.25">
      <c r="A4" s="80" t="s">
        <v>18</v>
      </c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</row>
    <row r="5" spans="1:28" ht="15" customHeight="1" x14ac:dyDescent="0.25">
      <c r="A5" s="6" t="s">
        <v>140</v>
      </c>
      <c r="B5" s="44">
        <v>5600</v>
      </c>
      <c r="C5" s="44">
        <v>6400</v>
      </c>
      <c r="D5" s="44">
        <v>7500</v>
      </c>
      <c r="E5" s="45">
        <f>SUM(B5:D5)</f>
        <v>19500</v>
      </c>
      <c r="F5" s="46">
        <f>'🔧 Revenue Drivers'!B5</f>
        <v>8100</v>
      </c>
      <c r="G5" s="46">
        <f>'🔧 Revenue Drivers'!C5</f>
        <v>8829</v>
      </c>
      <c r="H5" s="46">
        <f>'🔧 Revenue Drivers'!D5</f>
        <v>9624</v>
      </c>
      <c r="I5" s="45">
        <f>F5+G5+H5</f>
        <v>26553</v>
      </c>
      <c r="J5" s="46">
        <f>'🔧 Revenue Drivers'!E5</f>
        <v>10394</v>
      </c>
      <c r="K5" s="46">
        <f>'🔧 Revenue Drivers'!F5</f>
        <v>11226</v>
      </c>
      <c r="L5" s="46">
        <f>'🔧 Revenue Drivers'!G5</f>
        <v>12012</v>
      </c>
      <c r="M5" s="45">
        <f>J5+K5+L5</f>
        <v>33632</v>
      </c>
      <c r="N5" s="46">
        <f>'🔧 Revenue Drivers'!H5</f>
        <v>12853</v>
      </c>
      <c r="O5" s="46">
        <f>'🔧 Revenue Drivers'!I5</f>
        <v>13624</v>
      </c>
      <c r="P5" s="46">
        <f>'🔧 Revenue Drivers'!J5</f>
        <v>14441</v>
      </c>
      <c r="Q5" s="45">
        <f>N5+O5+P5</f>
        <v>40918</v>
      </c>
      <c r="R5" s="45">
        <f>E5+I5+M5+Q5</f>
        <v>120603</v>
      </c>
    </row>
    <row r="6" spans="1:28" ht="15" customHeight="1" x14ac:dyDescent="0.25">
      <c r="A6" s="47" t="s">
        <v>21</v>
      </c>
      <c r="B6" s="48">
        <v>4680</v>
      </c>
      <c r="C6" s="48">
        <v>4800</v>
      </c>
      <c r="D6" s="48">
        <v>5980</v>
      </c>
      <c r="E6" s="48">
        <v>15460</v>
      </c>
      <c r="F6" s="49">
        <f>'🔧 Revenue Drivers'!B10</f>
        <v>6885</v>
      </c>
      <c r="G6" s="49">
        <f>'🔧 Revenue Drivers'!C10</f>
        <v>7681</v>
      </c>
      <c r="H6" s="49">
        <f>'🔧 Revenue Drivers'!D10</f>
        <v>8662</v>
      </c>
      <c r="I6" s="48">
        <f>F6+G6+H6</f>
        <v>23228</v>
      </c>
      <c r="J6" s="49">
        <f>'🔧 Revenue Drivers'!E10</f>
        <v>9562</v>
      </c>
      <c r="K6" s="49">
        <f>'🔧 Revenue Drivers'!F10</f>
        <v>10552</v>
      </c>
      <c r="L6" s="49">
        <f>'🔧 Revenue Drivers'!G10</f>
        <v>11411</v>
      </c>
      <c r="M6" s="48">
        <f>J6+K6+L6</f>
        <v>31525</v>
      </c>
      <c r="N6" s="49">
        <f>'🔧 Revenue Drivers'!H10</f>
        <v>12467</v>
      </c>
      <c r="O6" s="49">
        <f>'🔧 Revenue Drivers'!I10</f>
        <v>13352</v>
      </c>
      <c r="P6" s="49">
        <f>'🔧 Revenue Drivers'!J10</f>
        <v>14441</v>
      </c>
      <c r="Q6" s="48">
        <f>N6+O6+P6</f>
        <v>40260</v>
      </c>
      <c r="R6" s="48">
        <f>E6+I6+M6+Q6</f>
        <v>110473</v>
      </c>
    </row>
    <row r="7" spans="1:28" ht="16.5" customHeight="1" x14ac:dyDescent="0.25">
      <c r="A7" s="87" t="s">
        <v>157</v>
      </c>
      <c r="B7" s="87"/>
      <c r="C7" s="87"/>
      <c r="D7" s="87"/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</row>
    <row r="8" spans="1:28" ht="15" customHeight="1" x14ac:dyDescent="0.25">
      <c r="A8" s="6" t="s">
        <v>158</v>
      </c>
      <c r="B8" s="50">
        <v>89237</v>
      </c>
      <c r="C8" s="50">
        <v>92746</v>
      </c>
      <c r="D8" s="50">
        <v>117826</v>
      </c>
      <c r="E8" s="51">
        <v>299809</v>
      </c>
      <c r="F8" s="52">
        <f>'🔧 Revenue Drivers'!B15</f>
        <v>136533</v>
      </c>
      <c r="G8" s="52">
        <f>'🔧 Revenue Drivers'!C15</f>
        <v>153295</v>
      </c>
      <c r="H8" s="52">
        <f>'🔧 Revenue Drivers'!D15</f>
        <v>173974</v>
      </c>
      <c r="I8" s="51">
        <f t="shared" ref="I8:I13" si="0">F8+G8+H8</f>
        <v>463802</v>
      </c>
      <c r="J8" s="52">
        <f>'🔧 Revenue Drivers'!E15</f>
        <v>199708</v>
      </c>
      <c r="K8" s="52">
        <f>'🔧 Revenue Drivers'!F15</f>
        <v>221771</v>
      </c>
      <c r="L8" s="52">
        <f>'🔧 Revenue Drivers'!G15</f>
        <v>241323</v>
      </c>
      <c r="M8" s="51">
        <f t="shared" ref="M8:M13" si="1">J8+K8+L8</f>
        <v>662802</v>
      </c>
      <c r="N8" s="52">
        <f>'🔧 Revenue Drivers'!H15</f>
        <v>273851</v>
      </c>
      <c r="O8" s="52">
        <f>'🔧 Revenue Drivers'!I15</f>
        <v>295102</v>
      </c>
      <c r="P8" s="52">
        <f>'🔧 Revenue Drivers'!J15</f>
        <v>323087</v>
      </c>
      <c r="Q8" s="51">
        <f t="shared" ref="Q8:Q13" si="2">N8+O8+P8</f>
        <v>892040</v>
      </c>
      <c r="R8" s="51">
        <f t="shared" ref="R8:R13" si="3">E8+I8+M8+Q8</f>
        <v>2318453</v>
      </c>
    </row>
    <row r="9" spans="1:28" ht="15" customHeight="1" x14ac:dyDescent="0.25">
      <c r="A9" s="6" t="s">
        <v>142</v>
      </c>
      <c r="B9" s="50">
        <v>0</v>
      </c>
      <c r="C9" s="50">
        <v>3840</v>
      </c>
      <c r="D9" s="50">
        <v>7680</v>
      </c>
      <c r="E9" s="51">
        <v>11520</v>
      </c>
      <c r="F9" s="52">
        <f>'🔧 Revenue Drivers'!B28</f>
        <v>11808</v>
      </c>
      <c r="G9" s="52">
        <f>'🔧 Revenue Drivers'!C28</f>
        <v>15936</v>
      </c>
      <c r="H9" s="52">
        <f>'🔧 Revenue Drivers'!D28</f>
        <v>20160</v>
      </c>
      <c r="I9" s="51">
        <f t="shared" si="0"/>
        <v>47904</v>
      </c>
      <c r="J9" s="52">
        <f>'🔧 Revenue Drivers'!E28</f>
        <v>24480</v>
      </c>
      <c r="K9" s="52">
        <f>'🔧 Revenue Drivers'!F28</f>
        <v>28896</v>
      </c>
      <c r="L9" s="52">
        <f>'🔧 Revenue Drivers'!G28</f>
        <v>33408</v>
      </c>
      <c r="M9" s="51">
        <f t="shared" si="1"/>
        <v>86784</v>
      </c>
      <c r="N9" s="52">
        <f>'🔧 Revenue Drivers'!H28</f>
        <v>38016</v>
      </c>
      <c r="O9" s="52">
        <f>'🔧 Revenue Drivers'!I28</f>
        <v>42720</v>
      </c>
      <c r="P9" s="52">
        <f>'🔧 Revenue Drivers'!J28</f>
        <v>47520</v>
      </c>
      <c r="Q9" s="51">
        <f t="shared" si="2"/>
        <v>128256</v>
      </c>
      <c r="R9" s="51">
        <f t="shared" si="3"/>
        <v>274464</v>
      </c>
    </row>
    <row r="10" spans="1:28" ht="15" customHeight="1" x14ac:dyDescent="0.25">
      <c r="A10" s="6" t="s">
        <v>159</v>
      </c>
      <c r="B10" s="50">
        <v>86400</v>
      </c>
      <c r="C10" s="50">
        <v>108000</v>
      </c>
      <c r="D10" s="50">
        <v>151200</v>
      </c>
      <c r="E10" s="51">
        <v>345600</v>
      </c>
      <c r="F10" s="52">
        <f>'🔧 Revenue Drivers'!B20</f>
        <v>187200</v>
      </c>
      <c r="G10" s="52">
        <f>'🔧 Revenue Drivers'!C20</f>
        <v>218700</v>
      </c>
      <c r="H10" s="52">
        <f>'🔧 Revenue Drivers'!D20</f>
        <v>252000</v>
      </c>
      <c r="I10" s="51">
        <f t="shared" si="0"/>
        <v>657900</v>
      </c>
      <c r="J10" s="52">
        <f>'🔧 Revenue Drivers'!E20</f>
        <v>324000</v>
      </c>
      <c r="K10" s="52">
        <f>'🔧 Revenue Drivers'!F20</f>
        <v>351000</v>
      </c>
      <c r="L10" s="52">
        <f>'🔧 Revenue Drivers'!G20</f>
        <v>403200</v>
      </c>
      <c r="M10" s="51">
        <f t="shared" si="1"/>
        <v>1078200</v>
      </c>
      <c r="N10" s="52">
        <f>'🔧 Revenue Drivers'!H20</f>
        <v>460800</v>
      </c>
      <c r="O10" s="52">
        <f>'🔧 Revenue Drivers'!I20</f>
        <v>520200</v>
      </c>
      <c r="P10" s="52">
        <f>'🔧 Revenue Drivers'!J20</f>
        <v>567000</v>
      </c>
      <c r="Q10" s="51">
        <f t="shared" si="2"/>
        <v>1548000</v>
      </c>
      <c r="R10" s="51">
        <f t="shared" si="3"/>
        <v>3629700</v>
      </c>
    </row>
    <row r="11" spans="1:28" ht="15" customHeight="1" x14ac:dyDescent="0.25">
      <c r="A11" s="6" t="s">
        <v>160</v>
      </c>
      <c r="B11" s="50">
        <v>55720</v>
      </c>
      <c r="C11" s="50">
        <v>69650</v>
      </c>
      <c r="D11" s="50">
        <v>83580</v>
      </c>
      <c r="E11" s="51">
        <v>208950</v>
      </c>
      <c r="F11" s="52">
        <f>'🔧 Revenue Drivers'!B23</f>
        <v>103480</v>
      </c>
      <c r="G11" s="52">
        <f>'🔧 Revenue Drivers'!C23</f>
        <v>119400</v>
      </c>
      <c r="H11" s="52">
        <f>'🔧 Revenue Drivers'!D23</f>
        <v>135320</v>
      </c>
      <c r="I11" s="51">
        <f t="shared" si="0"/>
        <v>358200</v>
      </c>
      <c r="J11" s="52">
        <f>'🔧 Revenue Drivers'!E23</f>
        <v>151240</v>
      </c>
      <c r="K11" s="52">
        <f>'🔧 Revenue Drivers'!F23</f>
        <v>167160</v>
      </c>
      <c r="L11" s="52">
        <f>'🔧 Revenue Drivers'!G23</f>
        <v>179100</v>
      </c>
      <c r="M11" s="51">
        <f t="shared" si="1"/>
        <v>497500</v>
      </c>
      <c r="N11" s="52">
        <f>'🔧 Revenue Drivers'!H23</f>
        <v>191040</v>
      </c>
      <c r="O11" s="52">
        <f>'🔧 Revenue Drivers'!I23</f>
        <v>202980</v>
      </c>
      <c r="P11" s="52">
        <f>'🔧 Revenue Drivers'!J23</f>
        <v>214920</v>
      </c>
      <c r="Q11" s="51">
        <f t="shared" si="2"/>
        <v>608940</v>
      </c>
      <c r="R11" s="51">
        <f t="shared" si="3"/>
        <v>1673590</v>
      </c>
    </row>
    <row r="12" spans="1:28" ht="15" customHeight="1" x14ac:dyDescent="0.25">
      <c r="A12" s="6" t="s">
        <v>161</v>
      </c>
      <c r="B12" s="50">
        <v>18000</v>
      </c>
      <c r="C12" s="50">
        <v>20000</v>
      </c>
      <c r="D12" s="50">
        <v>22000</v>
      </c>
      <c r="E12" s="51">
        <v>60000</v>
      </c>
      <c r="F12" s="52">
        <f>'🔧 Revenue Drivers'!B24</f>
        <v>24000</v>
      </c>
      <c r="G12" s="52">
        <f>'🔧 Revenue Drivers'!C24</f>
        <v>27000</v>
      </c>
      <c r="H12" s="52">
        <f>'🔧 Revenue Drivers'!D24</f>
        <v>30000</v>
      </c>
      <c r="I12" s="51">
        <f t="shared" si="0"/>
        <v>81000</v>
      </c>
      <c r="J12" s="52">
        <f>'🔧 Revenue Drivers'!E24</f>
        <v>33000</v>
      </c>
      <c r="K12" s="52">
        <f>'🔧 Revenue Drivers'!F24</f>
        <v>37000</v>
      </c>
      <c r="L12" s="52">
        <f>'🔧 Revenue Drivers'!G24</f>
        <v>40000</v>
      </c>
      <c r="M12" s="51">
        <f t="shared" si="1"/>
        <v>110000</v>
      </c>
      <c r="N12" s="52">
        <f>'🔧 Revenue Drivers'!H24</f>
        <v>43000</v>
      </c>
      <c r="O12" s="52">
        <f>'🔧 Revenue Drivers'!I24</f>
        <v>46000</v>
      </c>
      <c r="P12" s="52">
        <f>'🔧 Revenue Drivers'!J24</f>
        <v>50000</v>
      </c>
      <c r="Q12" s="51">
        <f t="shared" si="2"/>
        <v>139000</v>
      </c>
      <c r="R12" s="51">
        <f t="shared" si="3"/>
        <v>390000</v>
      </c>
    </row>
    <row r="13" spans="1:28" ht="15" customHeight="1" x14ac:dyDescent="0.25">
      <c r="A13" s="47" t="s">
        <v>30</v>
      </c>
      <c r="B13" s="53">
        <v>249357</v>
      </c>
      <c r="C13" s="53">
        <v>294236</v>
      </c>
      <c r="D13" s="53">
        <v>382286</v>
      </c>
      <c r="E13" s="53">
        <v>925879</v>
      </c>
      <c r="F13" s="54">
        <f>'🔧 Revenue Drivers'!B30</f>
        <v>463021</v>
      </c>
      <c r="G13" s="54">
        <f>'🔧 Revenue Drivers'!C30</f>
        <v>534331</v>
      </c>
      <c r="H13" s="54">
        <f>'🔧 Revenue Drivers'!D30</f>
        <v>611454</v>
      </c>
      <c r="I13" s="53">
        <f t="shared" si="0"/>
        <v>1608806</v>
      </c>
      <c r="J13" s="54">
        <f>'🔧 Revenue Drivers'!E30</f>
        <v>732428</v>
      </c>
      <c r="K13" s="54">
        <f>'🔧 Revenue Drivers'!F30</f>
        <v>805827</v>
      </c>
      <c r="L13" s="54">
        <f>'🔧 Revenue Drivers'!G30</f>
        <v>897031</v>
      </c>
      <c r="M13" s="53">
        <f t="shared" si="1"/>
        <v>2435286</v>
      </c>
      <c r="N13" s="54">
        <f>'🔧 Revenue Drivers'!H30</f>
        <v>1006707</v>
      </c>
      <c r="O13" s="54">
        <f>'🔧 Revenue Drivers'!I30</f>
        <v>1107002</v>
      </c>
      <c r="P13" s="54">
        <f>'🔧 Revenue Drivers'!J30</f>
        <v>1202527</v>
      </c>
      <c r="Q13" s="53">
        <f t="shared" si="2"/>
        <v>3316236</v>
      </c>
      <c r="R13" s="53">
        <f t="shared" si="3"/>
        <v>8286207</v>
      </c>
    </row>
    <row r="14" spans="1:28" ht="16.5" customHeight="1" x14ac:dyDescent="0.25">
      <c r="A14" s="88" t="s">
        <v>162</v>
      </c>
      <c r="B14" s="88"/>
      <c r="C14" s="88"/>
      <c r="D14" s="88"/>
      <c r="E14" s="88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88"/>
    </row>
    <row r="15" spans="1:28" ht="15" customHeight="1" x14ac:dyDescent="0.25">
      <c r="A15" s="28" t="s">
        <v>163</v>
      </c>
      <c r="B15" s="1" t="s">
        <v>164</v>
      </c>
      <c r="C15" s="55">
        <v>0.18</v>
      </c>
      <c r="D15" s="55">
        <v>0.29899999999999999</v>
      </c>
      <c r="E15" s="1"/>
      <c r="F15" s="56">
        <f>IFERROR('🔧 Revenue Drivers'!B30/382286-1,0)</f>
        <v>0.21119005142746539</v>
      </c>
      <c r="G15" s="56">
        <f>'🔧 Revenue Drivers'!C32</f>
        <v>0.15401029326963567</v>
      </c>
      <c r="H15" s="56">
        <f>'🔧 Revenue Drivers'!D32</f>
        <v>0.14433562716742987</v>
      </c>
      <c r="I15" s="1"/>
      <c r="J15" s="56">
        <f>'🔧 Revenue Drivers'!E32</f>
        <v>0.1978464447039352</v>
      </c>
      <c r="K15" s="56">
        <f>'🔧 Revenue Drivers'!F32</f>
        <v>0.10021326328321689</v>
      </c>
      <c r="L15" s="56">
        <f>'🔧 Revenue Drivers'!G32</f>
        <v>0.11318062065430912</v>
      </c>
      <c r="M15" s="1"/>
      <c r="N15" s="56">
        <f>'🔧 Revenue Drivers'!H32</f>
        <v>0.12226556272860134</v>
      </c>
      <c r="O15" s="56">
        <f>'🔧 Revenue Drivers'!I32</f>
        <v>9.9626803032063949E-2</v>
      </c>
      <c r="P15" s="56">
        <f>'🔧 Revenue Drivers'!J32</f>
        <v>8.6291623682703378E-2</v>
      </c>
      <c r="Q15" s="1"/>
      <c r="R15" s="1"/>
    </row>
    <row r="18" spans="1:18" ht="13.5" customHeight="1" x14ac:dyDescent="0.25">
      <c r="A18" s="81" t="s">
        <v>231</v>
      </c>
      <c r="B18" s="81"/>
      <c r="C18" s="81"/>
      <c r="D18" s="81"/>
      <c r="E18" s="81"/>
      <c r="F18" s="81"/>
      <c r="G18" s="81"/>
      <c r="H18" s="81"/>
      <c r="I18" s="81"/>
      <c r="J18" s="79" t="s">
        <v>11</v>
      </c>
      <c r="K18" s="79"/>
      <c r="L18" s="79"/>
      <c r="M18" s="79"/>
      <c r="N18" s="79"/>
      <c r="O18" s="79"/>
      <c r="P18" s="79"/>
      <c r="Q18" s="79"/>
      <c r="R18" s="79"/>
    </row>
  </sheetData>
  <mergeCells count="8">
    <mergeCell ref="A18:I18"/>
    <mergeCell ref="J18:R18"/>
    <mergeCell ref="A1:N1"/>
    <mergeCell ref="A2:N2"/>
    <mergeCell ref="A4:R4"/>
    <mergeCell ref="A7:R7"/>
    <mergeCell ref="A14:R14"/>
    <mergeCell ref="O1:AB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showGridLines="0" tabSelected="1" zoomScaleNormal="100" workbookViewId="0">
      <selection activeCell="F25" sqref="F25"/>
    </sheetView>
  </sheetViews>
  <sheetFormatPr defaultColWidth="8.7109375" defaultRowHeight="15" x14ac:dyDescent="0.25"/>
  <cols>
    <col min="1" max="1" width="36" customWidth="1"/>
    <col min="2" max="6" width="14" customWidth="1"/>
    <col min="7" max="7" width="134.140625" bestFit="1" customWidth="1"/>
  </cols>
  <sheetData>
    <row r="1" spans="1:7" ht="30" customHeight="1" x14ac:dyDescent="0.25">
      <c r="A1" s="96" t="s">
        <v>165</v>
      </c>
      <c r="B1" s="96"/>
      <c r="C1" s="96"/>
      <c r="D1" s="96"/>
      <c r="E1" s="96"/>
      <c r="F1" s="96"/>
      <c r="G1" s="96"/>
    </row>
    <row r="2" spans="1:7" ht="18" customHeight="1" x14ac:dyDescent="0.25">
      <c r="A2" s="83" t="s">
        <v>166</v>
      </c>
      <c r="B2" s="83"/>
      <c r="C2" s="83"/>
      <c r="D2" s="83"/>
      <c r="E2" s="83"/>
      <c r="F2" s="83"/>
      <c r="G2" s="83"/>
    </row>
    <row r="3" spans="1:7" ht="24" customHeight="1" x14ac:dyDescent="0.25">
      <c r="A3" s="5" t="s">
        <v>167</v>
      </c>
      <c r="B3" s="57" t="s">
        <v>168</v>
      </c>
      <c r="C3" s="58" t="s">
        <v>169</v>
      </c>
      <c r="D3" s="59" t="s">
        <v>170</v>
      </c>
      <c r="E3" s="60" t="s">
        <v>171</v>
      </c>
      <c r="F3" s="60" t="s">
        <v>172</v>
      </c>
      <c r="G3" s="61" t="s">
        <v>173</v>
      </c>
    </row>
    <row r="4" spans="1:7" ht="15.75" customHeight="1" x14ac:dyDescent="0.25">
      <c r="A4" s="9" t="s">
        <v>174</v>
      </c>
      <c r="B4" s="1"/>
      <c r="C4" s="1"/>
      <c r="D4" s="62">
        <f>'🔧 Revenue Drivers'!B30+'🔧 Revenue Drivers'!C30+'🔧 Revenue Drivers'!D30</f>
        <v>1608806</v>
      </c>
      <c r="E4" s="1"/>
      <c r="F4" s="1"/>
      <c r="G4" s="1"/>
    </row>
    <row r="5" spans="1:7" ht="16.5" customHeight="1" x14ac:dyDescent="0.25">
      <c r="A5" s="80" t="s">
        <v>175</v>
      </c>
      <c r="B5" s="80"/>
      <c r="C5" s="80"/>
      <c r="D5" s="80"/>
      <c r="E5" s="80"/>
      <c r="F5" s="80"/>
      <c r="G5" s="80"/>
    </row>
    <row r="6" spans="1:7" ht="22.5" x14ac:dyDescent="0.25">
      <c r="A6" s="6" t="s">
        <v>176</v>
      </c>
      <c r="B6" s="63">
        <f>$D$4*(1+(0.95*-0.2))</f>
        <v>1303132.8600000001</v>
      </c>
      <c r="C6" s="63">
        <f>$D$4*(1+(0.95*-0.1))</f>
        <v>1455969.43</v>
      </c>
      <c r="D6" s="64" t="s">
        <v>177</v>
      </c>
      <c r="E6" s="65">
        <f>$D$4*(1+(0.95*0.1))</f>
        <v>1761642.57</v>
      </c>
      <c r="F6" s="65">
        <f>$D$4*(1+(0.95*0.2))</f>
        <v>1914479.14</v>
      </c>
      <c r="G6" s="66" t="s">
        <v>178</v>
      </c>
    </row>
    <row r="7" spans="1:7" ht="15.75" customHeight="1" x14ac:dyDescent="0.25">
      <c r="A7" s="6" t="s">
        <v>20</v>
      </c>
      <c r="B7" s="63">
        <f>$D$4*(1+(0.38*-0.2))</f>
        <v>1486536.7439999999</v>
      </c>
      <c r="C7" s="63">
        <f>$D$4*(1+(0.38*-0.1))</f>
        <v>1547671.372</v>
      </c>
      <c r="D7" s="64" t="s">
        <v>177</v>
      </c>
      <c r="E7" s="65">
        <f>$D$4*(1+(0.38*0.1))</f>
        <v>1669940.628</v>
      </c>
      <c r="F7" s="65">
        <f>$D$4*(1+(0.38*0.2))</f>
        <v>1731075.2560000001</v>
      </c>
      <c r="G7" s="67" t="s">
        <v>179</v>
      </c>
    </row>
    <row r="8" spans="1:7" ht="15.75" customHeight="1" x14ac:dyDescent="0.25">
      <c r="A8" s="6" t="s">
        <v>104</v>
      </c>
      <c r="B8" s="63">
        <f>$D$4*(1+(0.38*-0.2))</f>
        <v>1486536.7439999999</v>
      </c>
      <c r="C8" s="63">
        <f>$D$4*(1+(0.38*-0.1))</f>
        <v>1547671.372</v>
      </c>
      <c r="D8" s="64" t="s">
        <v>177</v>
      </c>
      <c r="E8" s="65">
        <f>$D$4*(1+(0.38*0.1))</f>
        <v>1669940.628</v>
      </c>
      <c r="F8" s="65">
        <f>$D$4*(1+(0.38*0.2))</f>
        <v>1731075.2560000001</v>
      </c>
      <c r="G8" s="68" t="s">
        <v>180</v>
      </c>
    </row>
    <row r="9" spans="1:7" ht="15.75" customHeight="1" x14ac:dyDescent="0.25">
      <c r="A9" s="6" t="s">
        <v>181</v>
      </c>
      <c r="B9" s="63">
        <f>$D$4*(1+(0.38*-0.2))</f>
        <v>1486536.7439999999</v>
      </c>
      <c r="C9" s="63">
        <f>$D$4*(1+(0.38*-0.1))</f>
        <v>1547671.372</v>
      </c>
      <c r="D9" s="64" t="s">
        <v>177</v>
      </c>
      <c r="E9" s="65">
        <f>$D$4*(1+(0.38*0.1))</f>
        <v>1669940.628</v>
      </c>
      <c r="F9" s="65">
        <f>$D$4*(1+(0.38*0.2))</f>
        <v>1731075.2560000001</v>
      </c>
      <c r="G9" s="68" t="s">
        <v>182</v>
      </c>
    </row>
    <row r="10" spans="1:7" ht="15.75" customHeight="1" x14ac:dyDescent="0.25">
      <c r="A10" s="6" t="s">
        <v>183</v>
      </c>
      <c r="B10" s="63">
        <f>$D$4*(1+(0.38*-0.2))</f>
        <v>1486536.7439999999</v>
      </c>
      <c r="C10" s="63">
        <f>$D$4*(1+(0.38*-0.1))</f>
        <v>1547671.372</v>
      </c>
      <c r="D10" s="64" t="s">
        <v>177</v>
      </c>
      <c r="E10" s="65">
        <f>$D$4*(1+(0.38*0.1))</f>
        <v>1669940.628</v>
      </c>
      <c r="F10" s="65">
        <f>$D$4*(1+(0.38*0.2))</f>
        <v>1731075.2560000001</v>
      </c>
      <c r="G10" s="67" t="s">
        <v>184</v>
      </c>
    </row>
    <row r="11" spans="1:7" ht="15.75" customHeight="1" x14ac:dyDescent="0.25">
      <c r="A11" s="6" t="s">
        <v>42</v>
      </c>
      <c r="B11" s="63">
        <f>$D$4*(1+(0.12*-0.2))</f>
        <v>1570194.656</v>
      </c>
      <c r="C11" s="63">
        <f>$D$4*(1+(0.12*-0.1))</f>
        <v>1589500.328</v>
      </c>
      <c r="D11" s="64" t="s">
        <v>177</v>
      </c>
      <c r="E11" s="65">
        <f>$D$4*(1+(0.12*0.1))</f>
        <v>1628111.672</v>
      </c>
      <c r="F11" s="65">
        <f>$D$4*(1+(0.12*0.2))</f>
        <v>1647417.344</v>
      </c>
      <c r="G11" s="68" t="s">
        <v>185</v>
      </c>
    </row>
    <row r="12" spans="1:7" ht="15.75" customHeight="1" x14ac:dyDescent="0.25">
      <c r="A12" s="6" t="s">
        <v>128</v>
      </c>
      <c r="B12" s="63">
        <f>$D$4*(1+(0.09*-0.2))</f>
        <v>1579847.4920000001</v>
      </c>
      <c r="C12" s="63">
        <f>$D$4*(1+(0.09*-0.1))</f>
        <v>1594326.746</v>
      </c>
      <c r="D12" s="64" t="s">
        <v>177</v>
      </c>
      <c r="E12" s="65">
        <f>$D$4*(1+(0.09*0.1))</f>
        <v>1623285.2539999997</v>
      </c>
      <c r="F12" s="65">
        <f>$D$4*(1+(0.09*0.2))</f>
        <v>1637764.5079999999</v>
      </c>
      <c r="G12" s="68" t="s">
        <v>186</v>
      </c>
    </row>
    <row r="13" spans="1:7" ht="15.75" customHeight="1" x14ac:dyDescent="0.25">
      <c r="A13" s="6" t="s">
        <v>123</v>
      </c>
      <c r="B13" s="63">
        <f>$D$4*(1+(-0.35*-0.2))</f>
        <v>1721422.4200000002</v>
      </c>
      <c r="C13" s="63">
        <f>$D$4*(1+(-0.35*-0.1))</f>
        <v>1665114.21</v>
      </c>
      <c r="D13" s="64" t="s">
        <v>177</v>
      </c>
      <c r="E13" s="65">
        <f>$D$4*(1+(-0.35*0.1))</f>
        <v>1552497.79</v>
      </c>
      <c r="F13" s="65">
        <f>$D$4*(1+(-0.35*0.2))</f>
        <v>1496189.58</v>
      </c>
      <c r="G13" s="68" t="s">
        <v>187</v>
      </c>
    </row>
    <row r="15" spans="1:7" ht="36" customHeight="1" x14ac:dyDescent="0.25">
      <c r="A15" s="97" t="s">
        <v>233</v>
      </c>
      <c r="B15" s="97"/>
      <c r="C15" s="97"/>
      <c r="D15" s="97"/>
      <c r="E15" s="97"/>
      <c r="F15" s="97"/>
      <c r="G15" s="97"/>
    </row>
    <row r="17" spans="1:7" ht="13.5" customHeight="1" x14ac:dyDescent="0.25">
      <c r="A17" s="81" t="s">
        <v>10</v>
      </c>
      <c r="B17" s="81"/>
      <c r="C17" s="81"/>
      <c r="D17" s="79" t="s">
        <v>11</v>
      </c>
      <c r="E17" s="79"/>
      <c r="F17" s="79"/>
      <c r="G17" s="79"/>
    </row>
  </sheetData>
  <mergeCells count="6">
    <mergeCell ref="A1:G1"/>
    <mergeCell ref="A2:G2"/>
    <mergeCell ref="A5:G5"/>
    <mergeCell ref="A15:G15"/>
    <mergeCell ref="A17:C17"/>
    <mergeCell ref="D17:G17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Views>
    <sheetView showGridLines="0" zoomScaleNormal="100" workbookViewId="0">
      <selection activeCell="K12" sqref="K12"/>
    </sheetView>
  </sheetViews>
  <sheetFormatPr defaultColWidth="8.7109375" defaultRowHeight="15" x14ac:dyDescent="0.25"/>
  <cols>
    <col min="1" max="1" width="5" customWidth="1"/>
    <col min="2" max="2" width="76.7109375" bestFit="1" customWidth="1"/>
    <col min="3" max="3" width="58" customWidth="1"/>
  </cols>
  <sheetData>
    <row r="1" spans="1:3" ht="30" customHeight="1" x14ac:dyDescent="0.25">
      <c r="A1" s="99" t="s">
        <v>188</v>
      </c>
      <c r="B1" s="99"/>
      <c r="C1" s="99"/>
    </row>
    <row r="2" spans="1:3" ht="18" customHeight="1" x14ac:dyDescent="0.25">
      <c r="A2" s="83" t="s">
        <v>189</v>
      </c>
      <c r="B2" s="83"/>
      <c r="C2" s="83"/>
    </row>
    <row r="3" spans="1:3" ht="16.5" customHeight="1" x14ac:dyDescent="0.25">
      <c r="A3" s="87" t="s">
        <v>190</v>
      </c>
      <c r="B3" s="87"/>
      <c r="C3" s="87"/>
    </row>
    <row r="4" spans="1:3" ht="15.75" customHeight="1" x14ac:dyDescent="0.25">
      <c r="A4" s="69" t="s">
        <v>191</v>
      </c>
      <c r="B4" s="70" t="s">
        <v>192</v>
      </c>
      <c r="C4" s="98"/>
    </row>
    <row r="5" spans="1:3" ht="51.75" customHeight="1" x14ac:dyDescent="0.25">
      <c r="A5" s="71"/>
      <c r="B5" s="72" t="s">
        <v>193</v>
      </c>
      <c r="C5" s="98"/>
    </row>
    <row r="6" spans="1:3" ht="15.75" customHeight="1" x14ac:dyDescent="0.25">
      <c r="A6" s="69" t="s">
        <v>194</v>
      </c>
      <c r="B6" s="70" t="s">
        <v>195</v>
      </c>
      <c r="C6" s="98"/>
    </row>
    <row r="7" spans="1:3" ht="51.75" customHeight="1" x14ac:dyDescent="0.25">
      <c r="A7" s="71"/>
      <c r="B7" s="72" t="s">
        <v>196</v>
      </c>
      <c r="C7" s="98"/>
    </row>
    <row r="8" spans="1:3" ht="15.75" customHeight="1" x14ac:dyDescent="0.25">
      <c r="A8" s="69" t="s">
        <v>197</v>
      </c>
      <c r="B8" s="70" t="s">
        <v>198</v>
      </c>
      <c r="C8" s="98"/>
    </row>
    <row r="9" spans="1:3" ht="51.75" customHeight="1" x14ac:dyDescent="0.25">
      <c r="A9" s="71"/>
      <c r="B9" s="72" t="s">
        <v>199</v>
      </c>
      <c r="C9" s="98"/>
    </row>
    <row r="10" spans="1:3" ht="15.75" customHeight="1" x14ac:dyDescent="0.25">
      <c r="A10" s="69" t="s">
        <v>200</v>
      </c>
      <c r="B10" s="70" t="s">
        <v>201</v>
      </c>
      <c r="C10" s="98"/>
    </row>
    <row r="11" spans="1:3" ht="51.75" customHeight="1" x14ac:dyDescent="0.25">
      <c r="A11" s="71"/>
      <c r="B11" s="72" t="s">
        <v>202</v>
      </c>
      <c r="C11" s="98"/>
    </row>
    <row r="12" spans="1:3" ht="15.75" customHeight="1" x14ac:dyDescent="0.25">
      <c r="A12" s="69" t="s">
        <v>203</v>
      </c>
      <c r="B12" s="70" t="s">
        <v>204</v>
      </c>
      <c r="C12" s="98"/>
    </row>
    <row r="13" spans="1:3" ht="51.75" customHeight="1" x14ac:dyDescent="0.25">
      <c r="A13" s="71"/>
      <c r="B13" s="72" t="s">
        <v>205</v>
      </c>
      <c r="C13" s="98"/>
    </row>
    <row r="14" spans="1:3" ht="15.75" customHeight="1" x14ac:dyDescent="0.25">
      <c r="A14" s="69" t="s">
        <v>206</v>
      </c>
      <c r="B14" s="70" t="s">
        <v>207</v>
      </c>
      <c r="C14" s="98"/>
    </row>
    <row r="15" spans="1:3" ht="51.75" customHeight="1" x14ac:dyDescent="0.25">
      <c r="A15" s="71"/>
      <c r="B15" s="72" t="s">
        <v>208</v>
      </c>
      <c r="C15" s="98"/>
    </row>
    <row r="17" spans="1:3" ht="16.5" customHeight="1" x14ac:dyDescent="0.25">
      <c r="A17" s="84" t="s">
        <v>209</v>
      </c>
      <c r="B17" s="84"/>
      <c r="C17" s="84"/>
    </row>
    <row r="18" spans="1:3" ht="19.5" customHeight="1" x14ac:dyDescent="0.25">
      <c r="A18" s="73" t="s">
        <v>210</v>
      </c>
      <c r="B18" s="74" t="s">
        <v>211</v>
      </c>
      <c r="C18" s="98"/>
    </row>
    <row r="19" spans="1:3" ht="49.5" customHeight="1" x14ac:dyDescent="0.25">
      <c r="A19" s="1"/>
      <c r="B19" s="2" t="s">
        <v>212</v>
      </c>
      <c r="C19" s="98"/>
    </row>
    <row r="20" spans="1:3" ht="19.5" customHeight="1" x14ac:dyDescent="0.25">
      <c r="A20" s="73" t="s">
        <v>213</v>
      </c>
      <c r="B20" s="74" t="s">
        <v>214</v>
      </c>
      <c r="C20" s="98"/>
    </row>
    <row r="21" spans="1:3" ht="49.5" customHeight="1" x14ac:dyDescent="0.25">
      <c r="A21" s="1"/>
      <c r="B21" s="2" t="s">
        <v>215</v>
      </c>
      <c r="C21" s="98"/>
    </row>
    <row r="22" spans="1:3" ht="19.5" customHeight="1" x14ac:dyDescent="0.25">
      <c r="A22" s="73" t="s">
        <v>216</v>
      </c>
      <c r="B22" s="74" t="s">
        <v>217</v>
      </c>
      <c r="C22" s="98"/>
    </row>
    <row r="23" spans="1:3" ht="49.5" customHeight="1" x14ac:dyDescent="0.25">
      <c r="A23" s="1"/>
      <c r="B23" s="2" t="s">
        <v>218</v>
      </c>
      <c r="C23" s="98"/>
    </row>
    <row r="24" spans="1:3" ht="19.5" customHeight="1" x14ac:dyDescent="0.25">
      <c r="A24" s="73" t="s">
        <v>219</v>
      </c>
      <c r="B24" s="74" t="s">
        <v>220</v>
      </c>
      <c r="C24" s="98"/>
    </row>
    <row r="25" spans="1:3" ht="49.5" customHeight="1" x14ac:dyDescent="0.25">
      <c r="A25" s="1"/>
      <c r="B25" s="2" t="s">
        <v>221</v>
      </c>
      <c r="C25" s="98"/>
    </row>
    <row r="26" spans="1:3" ht="19.5" customHeight="1" x14ac:dyDescent="0.25">
      <c r="A26" s="73" t="s">
        <v>222</v>
      </c>
      <c r="B26" s="74" t="s">
        <v>223</v>
      </c>
      <c r="C26" s="98"/>
    </row>
    <row r="27" spans="1:3" ht="49.5" customHeight="1" x14ac:dyDescent="0.25">
      <c r="A27" s="1"/>
      <c r="B27" s="2" t="s">
        <v>224</v>
      </c>
      <c r="C27" s="98"/>
    </row>
    <row r="29" spans="1:3" ht="13.5" customHeight="1" x14ac:dyDescent="0.25">
      <c r="A29" s="4"/>
      <c r="B29" s="79" t="s">
        <v>11</v>
      </c>
      <c r="C29" s="79"/>
    </row>
  </sheetData>
  <mergeCells count="16">
    <mergeCell ref="A1:C1"/>
    <mergeCell ref="A2:C2"/>
    <mergeCell ref="A3:C3"/>
    <mergeCell ref="C4:C5"/>
    <mergeCell ref="C6:C7"/>
    <mergeCell ref="C8:C9"/>
    <mergeCell ref="C10:C11"/>
    <mergeCell ref="C12:C13"/>
    <mergeCell ref="C14:C15"/>
    <mergeCell ref="A17:C17"/>
    <mergeCell ref="B29:C29"/>
    <mergeCell ref="C18:C19"/>
    <mergeCell ref="C20:C21"/>
    <mergeCell ref="C22:C23"/>
    <mergeCell ref="C24:C25"/>
    <mergeCell ref="C26:C2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📖 Read Me First</vt:lpstr>
      <vt:lpstr>📊 Q1 Actuals Recap</vt:lpstr>
      <vt:lpstr>🔧 Revenue Drivers</vt:lpstr>
      <vt:lpstr>🎯 Scenario Analysis</vt:lpstr>
      <vt:lpstr>📈 Forecast Summary</vt:lpstr>
      <vt:lpstr>🔍 Sensitivity Analysis</vt:lpstr>
      <vt:lpstr>💡 Insights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AKM</cp:lastModifiedBy>
  <cp:revision>1</cp:revision>
  <dcterms:created xsi:type="dcterms:W3CDTF">2026-03-19T17:10:39Z</dcterms:created>
  <dcterms:modified xsi:type="dcterms:W3CDTF">2026-03-20T07:53:21Z</dcterms:modified>
  <dc:language>en-US</dc:language>
</cp:coreProperties>
</file>