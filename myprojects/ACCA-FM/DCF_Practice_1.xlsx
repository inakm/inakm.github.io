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inanj\Downloads\"/>
    </mc:Choice>
  </mc:AlternateContent>
  <xr:revisionPtr revIDLastSave="0" documentId="13_ncr:1_{2998BDDE-1F58-41E3-9027-B2FC3A03600C}" xr6:coauthVersionLast="47" xr6:coauthVersionMax="47" xr10:uidLastSave="{00000000-0000-0000-0000-000000000000}"/>
  <bookViews>
    <workbookView xWindow="-108" yWindow="-108" windowWidth="30936" windowHeight="18696" activeTab="2" xr2:uid="{00000000-000D-0000-FFFF-FFFF00000000}"/>
  </bookViews>
  <sheets>
    <sheet name="Income_Data" sheetId="1" r:id="rId1"/>
    <sheet name="Balance_Data" sheetId="2" r:id="rId2"/>
    <sheet name="Drivers" sheetId="3" r:id="rId3"/>
    <sheet name="Market_Assumption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3" l="1"/>
  <c r="H4" i="3"/>
  <c r="H5" i="3"/>
  <c r="H6" i="3"/>
  <c r="H2" i="3"/>
  <c r="G6" i="3"/>
  <c r="G5" i="3"/>
  <c r="G4" i="3"/>
  <c r="G3" i="3"/>
  <c r="G2" i="3"/>
  <c r="F3" i="3"/>
  <c r="F4" i="3"/>
  <c r="F5" i="3"/>
  <c r="F6" i="3"/>
  <c r="F2" i="3"/>
  <c r="B16" i="4"/>
  <c r="B14" i="4"/>
  <c r="B13" i="4"/>
  <c r="E2" i="3"/>
  <c r="E3" i="3"/>
  <c r="E4" i="3"/>
  <c r="E5" i="3"/>
  <c r="E6" i="3"/>
  <c r="E1" i="3"/>
  <c r="D2" i="3"/>
  <c r="D3" i="3"/>
  <c r="D4" i="3"/>
  <c r="D5" i="3"/>
  <c r="D6" i="3"/>
  <c r="D1" i="3"/>
  <c r="C2" i="3"/>
  <c r="C3" i="3"/>
  <c r="C4" i="3"/>
  <c r="C5" i="3"/>
  <c r="C6" i="3"/>
  <c r="C1" i="3"/>
  <c r="I4" i="2"/>
  <c r="I5" i="2"/>
  <c r="I6" i="2"/>
  <c r="I3" i="2"/>
  <c r="H6" i="2"/>
  <c r="H3" i="2"/>
  <c r="H4" i="2"/>
  <c r="H5" i="2"/>
  <c r="H2" i="2"/>
  <c r="J3" i="1"/>
  <c r="J4" i="1"/>
  <c r="J5" i="1"/>
  <c r="J6" i="1"/>
  <c r="J2" i="1"/>
  <c r="I6" i="1"/>
  <c r="I3" i="1"/>
  <c r="I4" i="1"/>
  <c r="I5" i="1"/>
  <c r="I2" i="1"/>
</calcChain>
</file>

<file path=xl/sharedStrings.xml><?xml version="1.0" encoding="utf-8"?>
<sst xmlns="http://schemas.openxmlformats.org/spreadsheetml/2006/main" count="38" uniqueCount="36">
  <si>
    <t>Year</t>
  </si>
  <si>
    <t>Revenue</t>
  </si>
  <si>
    <t>COGS</t>
  </si>
  <si>
    <t>SG&amp;A</t>
  </si>
  <si>
    <t>R&amp;D</t>
  </si>
  <si>
    <t>Depreciation</t>
  </si>
  <si>
    <t>Interest Expense</t>
  </si>
  <si>
    <t>Tax Rate</t>
  </si>
  <si>
    <t>Cash</t>
  </si>
  <si>
    <t>Accounts Receivable</t>
  </si>
  <si>
    <t>Inventory</t>
  </si>
  <si>
    <t>Accounts Payable</t>
  </si>
  <si>
    <t>Debt</t>
  </si>
  <si>
    <t>Equity</t>
  </si>
  <si>
    <t>CapEx</t>
  </si>
  <si>
    <t>Parameter</t>
  </si>
  <si>
    <t>Value</t>
  </si>
  <si>
    <t>Risk Free Rate</t>
  </si>
  <si>
    <t>Equity Risk Premium</t>
  </si>
  <si>
    <t>Beta</t>
  </si>
  <si>
    <t>Cost of Debt</t>
  </si>
  <si>
    <t>Tax Rate (use marginal)</t>
  </si>
  <si>
    <t>Target Debt %</t>
  </si>
  <si>
    <t>Target Equity %</t>
  </si>
  <si>
    <t>Terminal Growth Rate</t>
  </si>
  <si>
    <t>EBIT</t>
  </si>
  <si>
    <t>NOPAT</t>
  </si>
  <si>
    <t>WC</t>
  </si>
  <si>
    <t>ΔWC</t>
  </si>
  <si>
    <t>FCF</t>
  </si>
  <si>
    <t>Cost of Capital (WACC)</t>
  </si>
  <si>
    <t>Cost of Equity (CAPM)</t>
  </si>
  <si>
    <t>After Tax Cost of Debt</t>
  </si>
  <si>
    <t>WACC</t>
  </si>
  <si>
    <t>DF</t>
  </si>
  <si>
    <t>PV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</si>
</sst>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workbookViewId="0">
      <selection activeCell="L8" sqref="L8"/>
    </sheetView>
  </sheetViews>
  <sheetFormatPr defaultRowHeight="14.4" x14ac:dyDescent="0.3"/>
  <cols>
    <col min="1" max="1" width="5" bestFit="1" customWidth="1"/>
    <col min="2" max="2" width="8" bestFit="1" customWidth="1"/>
    <col min="3" max="4" width="5.5546875" bestFit="1" customWidth="1"/>
    <col min="5" max="5" width="6.109375" customWidth="1"/>
    <col min="6" max="6" width="11.44140625" bestFit="1" customWidth="1"/>
    <col min="7" max="7" width="14.5546875" bestFit="1" customWidth="1"/>
    <col min="8" max="8" width="8.1093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25</v>
      </c>
      <c r="J1" t="s">
        <v>26</v>
      </c>
    </row>
    <row r="2" spans="1:10" x14ac:dyDescent="0.3">
      <c r="A2">
        <v>2020</v>
      </c>
      <c r="B2">
        <v>1250</v>
      </c>
      <c r="C2">
        <v>720</v>
      </c>
      <c r="D2">
        <v>180</v>
      </c>
      <c r="E2">
        <v>95</v>
      </c>
      <c r="F2">
        <v>60</v>
      </c>
      <c r="G2">
        <v>40</v>
      </c>
      <c r="H2">
        <v>0.25</v>
      </c>
      <c r="I2">
        <f>B2-C2-D2-E2-F2</f>
        <v>195</v>
      </c>
      <c r="J2">
        <f>I2*(1-H2)</f>
        <v>146.25</v>
      </c>
    </row>
    <row r="3" spans="1:10" x14ac:dyDescent="0.3">
      <c r="A3">
        <v>2021</v>
      </c>
      <c r="B3">
        <v>1380</v>
      </c>
      <c r="C3">
        <v>790</v>
      </c>
      <c r="D3">
        <v>205</v>
      </c>
      <c r="E3">
        <v>110</v>
      </c>
      <c r="F3">
        <v>72</v>
      </c>
      <c r="G3">
        <v>45</v>
      </c>
      <c r="H3">
        <v>0.26</v>
      </c>
      <c r="I3">
        <f t="shared" ref="I3:I6" si="0">B3-C3-D3-E3-F3</f>
        <v>203</v>
      </c>
      <c r="J3">
        <f t="shared" ref="J3:J6" si="1">I3*(1-H3)</f>
        <v>150.22</v>
      </c>
    </row>
    <row r="4" spans="1:10" x14ac:dyDescent="0.3">
      <c r="A4">
        <v>2022</v>
      </c>
      <c r="B4">
        <v>1525</v>
      </c>
      <c r="C4">
        <v>860</v>
      </c>
      <c r="D4">
        <v>240</v>
      </c>
      <c r="E4">
        <v>125</v>
      </c>
      <c r="F4">
        <v>85</v>
      </c>
      <c r="G4">
        <v>48</v>
      </c>
      <c r="H4">
        <v>0.27</v>
      </c>
      <c r="I4">
        <f t="shared" si="0"/>
        <v>215</v>
      </c>
      <c r="J4">
        <f t="shared" si="1"/>
        <v>156.94999999999999</v>
      </c>
    </row>
    <row r="5" spans="1:10" x14ac:dyDescent="0.3">
      <c r="A5">
        <v>2023</v>
      </c>
      <c r="B5">
        <v>1680</v>
      </c>
      <c r="C5">
        <v>940</v>
      </c>
      <c r="D5">
        <v>260</v>
      </c>
      <c r="E5">
        <v>140</v>
      </c>
      <c r="F5">
        <v>95</v>
      </c>
      <c r="G5">
        <v>52</v>
      </c>
      <c r="H5">
        <v>0.27</v>
      </c>
      <c r="I5">
        <f t="shared" si="0"/>
        <v>245</v>
      </c>
      <c r="J5">
        <f t="shared" si="1"/>
        <v>178.85</v>
      </c>
    </row>
    <row r="6" spans="1:10" x14ac:dyDescent="0.3">
      <c r="A6">
        <v>2024</v>
      </c>
      <c r="B6">
        <v>1850</v>
      </c>
      <c r="C6">
        <v>1030</v>
      </c>
      <c r="D6">
        <v>295</v>
      </c>
      <c r="E6">
        <v>160</v>
      </c>
      <c r="F6">
        <v>110</v>
      </c>
      <c r="G6">
        <v>55</v>
      </c>
      <c r="H6">
        <v>0.28000000000000003</v>
      </c>
      <c r="I6">
        <f>B6-C6-D6-E6-F6</f>
        <v>255</v>
      </c>
      <c r="J6">
        <f t="shared" si="1"/>
        <v>183.6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"/>
  <sheetViews>
    <sheetView zoomScale="144" workbookViewId="0">
      <selection activeCell="D34" sqref="D34"/>
    </sheetView>
  </sheetViews>
  <sheetFormatPr defaultRowHeight="14.4" x14ac:dyDescent="0.3"/>
  <cols>
    <col min="2" max="2" width="4.88671875" bestFit="1" customWidth="1"/>
    <col min="3" max="3" width="17.88671875" bestFit="1" customWidth="1"/>
    <col min="4" max="4" width="8.77734375" bestFit="1" customWidth="1"/>
    <col min="5" max="5" width="15.33203125" bestFit="1" customWidth="1"/>
    <col min="6" max="6" width="4.88671875" bestFit="1" customWidth="1"/>
    <col min="7" max="7" width="6" bestFit="1" customWidth="1"/>
  </cols>
  <sheetData>
    <row r="1" spans="1:9" x14ac:dyDescent="0.3">
      <c r="A1" t="s">
        <v>0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27</v>
      </c>
      <c r="I1" t="s">
        <v>28</v>
      </c>
    </row>
    <row r="2" spans="1:9" x14ac:dyDescent="0.3">
      <c r="A2">
        <v>2020</v>
      </c>
      <c r="B2">
        <v>150</v>
      </c>
      <c r="C2">
        <v>210</v>
      </c>
      <c r="D2">
        <v>180</v>
      </c>
      <c r="E2">
        <v>160</v>
      </c>
      <c r="F2">
        <v>500</v>
      </c>
      <c r="G2">
        <v>600</v>
      </c>
      <c r="H2">
        <f>C2+D2-E2</f>
        <v>230</v>
      </c>
      <c r="I2">
        <v>0</v>
      </c>
    </row>
    <row r="3" spans="1:9" x14ac:dyDescent="0.3">
      <c r="A3">
        <v>2021</v>
      </c>
      <c r="B3">
        <v>165</v>
      </c>
      <c r="C3">
        <v>230</v>
      </c>
      <c r="D3">
        <v>200</v>
      </c>
      <c r="E3">
        <v>175</v>
      </c>
      <c r="F3">
        <v>540</v>
      </c>
      <c r="G3">
        <v>640</v>
      </c>
      <c r="H3">
        <f t="shared" ref="H3:H6" si="0">C3+D3-E3</f>
        <v>255</v>
      </c>
      <c r="I3">
        <f>H3-H2</f>
        <v>25</v>
      </c>
    </row>
    <row r="4" spans="1:9" x14ac:dyDescent="0.3">
      <c r="A4">
        <v>2022</v>
      </c>
      <c r="B4">
        <v>180</v>
      </c>
      <c r="C4">
        <v>255</v>
      </c>
      <c r="D4">
        <v>225</v>
      </c>
      <c r="E4">
        <v>190</v>
      </c>
      <c r="F4">
        <v>580</v>
      </c>
      <c r="G4">
        <v>690</v>
      </c>
      <c r="H4">
        <f t="shared" si="0"/>
        <v>290</v>
      </c>
      <c r="I4">
        <f t="shared" ref="I4:I6" si="1">H4-H3</f>
        <v>35</v>
      </c>
    </row>
    <row r="5" spans="1:9" x14ac:dyDescent="0.3">
      <c r="A5">
        <v>2023</v>
      </c>
      <c r="B5">
        <v>200</v>
      </c>
      <c r="C5">
        <v>275</v>
      </c>
      <c r="D5">
        <v>250</v>
      </c>
      <c r="E5">
        <v>210</v>
      </c>
      <c r="F5">
        <v>620</v>
      </c>
      <c r="G5">
        <v>740</v>
      </c>
      <c r="H5">
        <f t="shared" si="0"/>
        <v>315</v>
      </c>
      <c r="I5">
        <f t="shared" si="1"/>
        <v>25</v>
      </c>
    </row>
    <row r="6" spans="1:9" x14ac:dyDescent="0.3">
      <c r="A6">
        <v>2024</v>
      </c>
      <c r="B6">
        <v>220</v>
      </c>
      <c r="C6">
        <v>300</v>
      </c>
      <c r="D6">
        <v>280</v>
      </c>
      <c r="E6">
        <v>230</v>
      </c>
      <c r="F6">
        <v>660</v>
      </c>
      <c r="G6">
        <v>800</v>
      </c>
      <c r="H6">
        <f>C6+D6-E6</f>
        <v>350</v>
      </c>
      <c r="I6">
        <f t="shared" si="1"/>
        <v>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"/>
  <sheetViews>
    <sheetView tabSelected="1" zoomScale="126" workbookViewId="0">
      <selection activeCell="J12" sqref="J12"/>
    </sheetView>
  </sheetViews>
  <sheetFormatPr defaultRowHeight="14.4" x14ac:dyDescent="0.3"/>
  <cols>
    <col min="5" max="5" width="11.44140625" bestFit="1" customWidth="1"/>
  </cols>
  <sheetData>
    <row r="1" spans="1:8" x14ac:dyDescent="0.3">
      <c r="A1" t="s">
        <v>0</v>
      </c>
      <c r="B1" t="s">
        <v>14</v>
      </c>
      <c r="C1" t="str">
        <f>Balance_Data!I1</f>
        <v>ΔWC</v>
      </c>
      <c r="D1" t="str">
        <f>Income_Data!J1</f>
        <v>NOPAT</v>
      </c>
      <c r="E1" t="str">
        <f>Income_Data!F1</f>
        <v>Depreciation</v>
      </c>
      <c r="F1" t="s">
        <v>29</v>
      </c>
      <c r="G1" t="s">
        <v>34</v>
      </c>
      <c r="H1" t="s">
        <v>35</v>
      </c>
    </row>
    <row r="2" spans="1:8" x14ac:dyDescent="0.3">
      <c r="A2">
        <v>2020</v>
      </c>
      <c r="B2">
        <v>120</v>
      </c>
      <c r="C2">
        <f>Balance_Data!I2</f>
        <v>0</v>
      </c>
      <c r="D2">
        <f>Income_Data!J2</f>
        <v>146.25</v>
      </c>
      <c r="E2">
        <f>Income_Data!F2</f>
        <v>60</v>
      </c>
      <c r="F2">
        <f>D2+E2-B2-C2</f>
        <v>86.25</v>
      </c>
      <c r="G2">
        <f>1/(1+Market_Assumptions!B16)^1</f>
        <v>0.89970129916867603</v>
      </c>
      <c r="H2">
        <f>F2*G2</f>
        <v>77.59923705329831</v>
      </c>
    </row>
    <row r="3" spans="1:8" x14ac:dyDescent="0.3">
      <c r="A3">
        <v>2021</v>
      </c>
      <c r="B3">
        <v>140</v>
      </c>
      <c r="C3">
        <f>Balance_Data!I3</f>
        <v>25</v>
      </c>
      <c r="D3">
        <f>Income_Data!J3</f>
        <v>150.22</v>
      </c>
      <c r="E3">
        <f>Income_Data!F3</f>
        <v>72</v>
      </c>
      <c r="F3">
        <f t="shared" ref="F3:F6" si="0">D3+E3-B3-C3</f>
        <v>57.22</v>
      </c>
      <c r="G3">
        <f>1/(1+Market_Assumptions!B16)^2</f>
        <v>0.80946242772580335</v>
      </c>
      <c r="H3">
        <f t="shared" ref="H3:H6" si="1">F3*G3</f>
        <v>46.317440114470465</v>
      </c>
    </row>
    <row r="4" spans="1:8" x14ac:dyDescent="0.3">
      <c r="A4">
        <v>2022</v>
      </c>
      <c r="B4">
        <v>165</v>
      </c>
      <c r="C4">
        <f>Balance_Data!I4</f>
        <v>35</v>
      </c>
      <c r="D4">
        <f>Income_Data!J4</f>
        <v>156.94999999999999</v>
      </c>
      <c r="E4">
        <f>Income_Data!F4</f>
        <v>85</v>
      </c>
      <c r="F4">
        <f t="shared" si="0"/>
        <v>41.949999999999989</v>
      </c>
      <c r="G4">
        <f>1/(1+Market_Assumptions!B16)^3</f>
        <v>0.72827439785313586</v>
      </c>
      <c r="H4">
        <f t="shared" si="1"/>
        <v>30.551110989939041</v>
      </c>
    </row>
    <row r="5" spans="1:8" x14ac:dyDescent="0.3">
      <c r="A5">
        <v>2023</v>
      </c>
      <c r="B5">
        <v>190</v>
      </c>
      <c r="C5">
        <f>Balance_Data!I5</f>
        <v>25</v>
      </c>
      <c r="D5">
        <f>Income_Data!J5</f>
        <v>178.85</v>
      </c>
      <c r="E5">
        <f>Income_Data!F5</f>
        <v>95</v>
      </c>
      <c r="F5">
        <f t="shared" si="0"/>
        <v>58.850000000000023</v>
      </c>
      <c r="G5">
        <f>1/(1+Market_Assumptions!B16)^4</f>
        <v>0.65522942189975142</v>
      </c>
      <c r="H5">
        <f t="shared" si="1"/>
        <v>38.560251478800389</v>
      </c>
    </row>
    <row r="6" spans="1:8" x14ac:dyDescent="0.3">
      <c r="A6">
        <v>2024</v>
      </c>
      <c r="B6">
        <v>210</v>
      </c>
      <c r="C6">
        <f>Balance_Data!I6</f>
        <v>35</v>
      </c>
      <c r="D6">
        <f>Income_Data!J6</f>
        <v>183.6</v>
      </c>
      <c r="E6">
        <f>Income_Data!F6</f>
        <v>110</v>
      </c>
      <c r="F6">
        <f t="shared" si="0"/>
        <v>48.600000000000023</v>
      </c>
      <c r="G6">
        <f>1/(1+Market_Assumptions!B16)^5</f>
        <v>0.58951076213674691</v>
      </c>
      <c r="H6">
        <f t="shared" si="1"/>
        <v>28.650223039845912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6"/>
  <sheetViews>
    <sheetView workbookViewId="0">
      <selection activeCell="B16" sqref="B16"/>
    </sheetView>
  </sheetViews>
  <sheetFormatPr defaultRowHeight="14.4" x14ac:dyDescent="0.3"/>
  <cols>
    <col min="1" max="1" width="20.109375" bestFit="1" customWidth="1"/>
    <col min="2" max="2" width="10.77734375" customWidth="1"/>
  </cols>
  <sheetData>
    <row r="1" spans="1:2" x14ac:dyDescent="0.3">
      <c r="A1" t="s">
        <v>15</v>
      </c>
      <c r="B1" t="s">
        <v>16</v>
      </c>
    </row>
    <row r="2" spans="1:2" x14ac:dyDescent="0.3">
      <c r="A2" t="s">
        <v>17</v>
      </c>
      <c r="B2">
        <v>7.0000000000000007E-2</v>
      </c>
    </row>
    <row r="3" spans="1:2" x14ac:dyDescent="0.3">
      <c r="A3" t="s">
        <v>18</v>
      </c>
      <c r="B3">
        <v>0.06</v>
      </c>
    </row>
    <row r="4" spans="1:2" x14ac:dyDescent="0.3">
      <c r="A4" t="s">
        <v>19</v>
      </c>
      <c r="B4">
        <v>1.25</v>
      </c>
    </row>
    <row r="5" spans="1:2" x14ac:dyDescent="0.3">
      <c r="A5" t="s">
        <v>20</v>
      </c>
      <c r="B5">
        <v>8.5000000000000006E-2</v>
      </c>
    </row>
    <row r="6" spans="1:2" x14ac:dyDescent="0.3">
      <c r="A6" t="s">
        <v>21</v>
      </c>
      <c r="B6">
        <v>0.28000000000000003</v>
      </c>
    </row>
    <row r="7" spans="1:2" x14ac:dyDescent="0.3">
      <c r="A7" t="s">
        <v>22</v>
      </c>
      <c r="B7">
        <v>0.4</v>
      </c>
    </row>
    <row r="8" spans="1:2" x14ac:dyDescent="0.3">
      <c r="A8" t="s">
        <v>23</v>
      </c>
      <c r="B8">
        <v>0.6</v>
      </c>
    </row>
    <row r="9" spans="1:2" x14ac:dyDescent="0.3">
      <c r="A9" t="s">
        <v>24</v>
      </c>
      <c r="B9">
        <v>3.5000000000000003E-2</v>
      </c>
    </row>
    <row r="12" spans="1:2" x14ac:dyDescent="0.3">
      <c r="A12" t="s">
        <v>30</v>
      </c>
    </row>
    <row r="13" spans="1:2" x14ac:dyDescent="0.3">
      <c r="A13" t="s">
        <v>31</v>
      </c>
      <c r="B13">
        <f>B2+B4*B3</f>
        <v>0.14500000000000002</v>
      </c>
    </row>
    <row r="14" spans="1:2" x14ac:dyDescent="0.3">
      <c r="A14" t="s">
        <v>32</v>
      </c>
      <c r="B14">
        <f>B5*(1-B6)</f>
        <v>6.1200000000000004E-2</v>
      </c>
    </row>
    <row r="16" spans="1:2" x14ac:dyDescent="0.3">
      <c r="A16" t="s">
        <v>33</v>
      </c>
      <c r="B16">
        <f>(B8*B13)+(B7*B14)</f>
        <v>0.11148000000000001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Income_Data</vt:lpstr>
      <vt:lpstr>Balance_Data</vt:lpstr>
      <vt:lpstr>Drivers</vt:lpstr>
      <vt:lpstr>Market_Assumptions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Anjani Kumar Mishra</cp:lastModifiedBy>
  <dcterms:created xsi:type="dcterms:W3CDTF">2026-04-04T08:34:11Z</dcterms:created>
  <dcterms:modified xsi:type="dcterms:W3CDTF">2026-04-04T09:12:09Z</dcterms:modified>
</cp:coreProperties>
</file>