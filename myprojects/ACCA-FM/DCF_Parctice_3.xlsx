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inanj\Documents\GitHub\inakm.github.io\myprojects\ACCA-FM\"/>
    </mc:Choice>
  </mc:AlternateContent>
  <xr:revisionPtr revIDLastSave="0" documentId="8_{7BF786ED-D4A7-4803-BABA-FD60B6D8BA9D}" xr6:coauthVersionLast="47" xr6:coauthVersionMax="47" xr10:uidLastSave="{00000000-0000-0000-0000-000000000000}"/>
  <bookViews>
    <workbookView xWindow="-108" yWindow="-108" windowWidth="30936" windowHeight="18696" xr2:uid="{56389A15-A189-4E54-BB77-F8A8F53169E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6" i="1" l="1"/>
  <c r="H25" i="1"/>
  <c r="G25" i="1"/>
  <c r="F25" i="1"/>
  <c r="E25" i="1"/>
  <c r="D25" i="1"/>
  <c r="E23" i="1"/>
  <c r="F23" i="1"/>
  <c r="G23" i="1"/>
  <c r="H23" i="1"/>
  <c r="D23" i="1"/>
  <c r="H22" i="1"/>
  <c r="H21" i="1"/>
  <c r="G21" i="1"/>
  <c r="F21" i="1"/>
  <c r="E21" i="1"/>
  <c r="D21" i="1"/>
  <c r="E18" i="1"/>
  <c r="F18" i="1"/>
  <c r="G18" i="1"/>
  <c r="H18" i="1"/>
  <c r="D18" i="1"/>
  <c r="E17" i="1"/>
  <c r="F17" i="1"/>
  <c r="G17" i="1"/>
  <c r="H17" i="1"/>
  <c r="D17" i="1"/>
  <c r="E16" i="1"/>
  <c r="F16" i="1"/>
  <c r="G16" i="1"/>
  <c r="H16" i="1"/>
  <c r="D16" i="1"/>
  <c r="E15" i="1"/>
  <c r="F15" i="1"/>
  <c r="G15" i="1"/>
  <c r="H15" i="1"/>
  <c r="D15" i="1"/>
  <c r="D11" i="1"/>
  <c r="E11" i="1"/>
  <c r="F11" i="1"/>
  <c r="G11" i="1"/>
  <c r="H11" i="1"/>
  <c r="D10" i="1"/>
  <c r="E10" i="1"/>
  <c r="F10" i="1"/>
  <c r="G10" i="1"/>
  <c r="H10" i="1"/>
  <c r="C11" i="1"/>
  <c r="C10" i="1"/>
  <c r="C14" i="1"/>
  <c r="D8" i="1"/>
  <c r="E8" i="1" s="1"/>
  <c r="F8" i="1" s="1"/>
  <c r="G8" i="1" s="1"/>
  <c r="H8" i="1" s="1"/>
  <c r="D4" i="1"/>
  <c r="D7" i="1" s="1"/>
  <c r="D14" i="1" s="1"/>
  <c r="E5" i="1"/>
  <c r="F5" i="1" s="1"/>
  <c r="G5" i="1" s="1"/>
  <c r="H5" i="1" s="1"/>
  <c r="D2" i="1"/>
  <c r="E2" i="1" s="1"/>
  <c r="F2" i="1" s="1"/>
  <c r="G2" i="1" s="1"/>
  <c r="H2" i="1" s="1"/>
  <c r="E4" i="1" l="1"/>
  <c r="F4" i="1" l="1"/>
  <c r="E7" i="1"/>
  <c r="E14" i="1" s="1"/>
  <c r="G4" i="1" l="1"/>
  <c r="F7" i="1"/>
  <c r="F14" i="1" s="1"/>
  <c r="H4" i="1" l="1"/>
  <c r="H7" i="1" s="1"/>
  <c r="H14" i="1" s="1"/>
  <c r="G7" i="1"/>
  <c r="G14" i="1" s="1"/>
</calcChain>
</file>

<file path=xl/sharedStrings.xml><?xml version="1.0" encoding="utf-8"?>
<sst xmlns="http://schemas.openxmlformats.org/spreadsheetml/2006/main" count="25" uniqueCount="24">
  <si>
    <t xml:space="preserve">Income Statement </t>
  </si>
  <si>
    <t>Revenue</t>
  </si>
  <si>
    <t>% Growth</t>
  </si>
  <si>
    <t>EBITDA</t>
  </si>
  <si>
    <t>% Margin</t>
  </si>
  <si>
    <t>Free Cash Flow</t>
  </si>
  <si>
    <t>(Tax)</t>
  </si>
  <si>
    <t>(Capex)</t>
  </si>
  <si>
    <t>(Change in NetWC)</t>
  </si>
  <si>
    <t>Unlevered Cash Flow</t>
  </si>
  <si>
    <t>D&amp;A</t>
  </si>
  <si>
    <t>D&amp;A % of Revenue</t>
  </si>
  <si>
    <t>EBIT</t>
  </si>
  <si>
    <t>Corp Tax Rate</t>
  </si>
  <si>
    <t>Capex % of Rev</t>
  </si>
  <si>
    <t>Change in Net WC</t>
  </si>
  <si>
    <t>Discounted Cash Flow</t>
  </si>
  <si>
    <t>Annual UFCF</t>
  </si>
  <si>
    <t>TM</t>
  </si>
  <si>
    <t>Terminal Value</t>
  </si>
  <si>
    <t>Total Unlevered Free Cash Flow</t>
  </si>
  <si>
    <t>WACC</t>
  </si>
  <si>
    <t>PV of UFCF</t>
  </si>
  <si>
    <t>Net Present 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</si>
</sst>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_ ;\-#,##0.00\ "/>
    <numFmt numFmtId="166" formatCode="0.0\x"/>
    <numFmt numFmtId="168" formatCode="_ [$₹-4009]\ * #,##0.00_ ;_ [$₹-4009]\ * \-#,##0.00_ ;_ [$₹-4009]\ * &quot;-&quot;??_ ;_ @_ "/>
  </numFmts>
  <fonts count="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0070C0"/>
      <name val="Aptos Narrow"/>
      <family val="2"/>
      <scheme val="minor"/>
    </font>
    <font>
      <sz val="11"/>
      <name val="Aptos Narrow"/>
      <family val="2"/>
      <scheme val="minor"/>
    </font>
    <font>
      <b/>
      <u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thin">
        <color indexed="64"/>
      </top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4">
    <xf numFmtId="0" fontId="0" fillId="0" borderId="0" xfId="0"/>
    <xf numFmtId="0" fontId="2" fillId="0" borderId="0" xfId="0" applyFont="1"/>
    <xf numFmtId="164" fontId="0" fillId="0" borderId="0" xfId="0" applyNumberFormat="1"/>
    <xf numFmtId="9" fontId="3" fillId="0" borderId="0" xfId="0" applyNumberFormat="1" applyFont="1"/>
    <xf numFmtId="9" fontId="0" fillId="0" borderId="0" xfId="0" applyNumberFormat="1" applyFont="1"/>
    <xf numFmtId="10" fontId="0" fillId="0" borderId="0" xfId="0" applyNumberFormat="1"/>
    <xf numFmtId="10" fontId="3" fillId="0" borderId="0" xfId="0" applyNumberFormat="1" applyFont="1"/>
    <xf numFmtId="9" fontId="3" fillId="0" borderId="0" xfId="1" applyFont="1"/>
    <xf numFmtId="0" fontId="4" fillId="0" borderId="0" xfId="1" applyNumberFormat="1" applyFont="1"/>
    <xf numFmtId="0" fontId="4" fillId="0" borderId="0" xfId="0" applyNumberFormat="1" applyFont="1"/>
    <xf numFmtId="0" fontId="5" fillId="0" borderId="0" xfId="0" applyFont="1"/>
    <xf numFmtId="0" fontId="0" fillId="0" borderId="1" xfId="0" applyBorder="1"/>
    <xf numFmtId="166" fontId="3" fillId="0" borderId="0" xfId="0" applyNumberFormat="1" applyFont="1"/>
    <xf numFmtId="168" fontId="0" fillId="0" borderId="0" xfId="0" applyNumberForma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8714F0-1486-437C-A04E-927CF0CF3321}">
  <dimension ref="B2:K26"/>
  <sheetViews>
    <sheetView tabSelected="1" zoomScale="145" workbookViewId="0">
      <selection activeCell="C31" sqref="C31"/>
    </sheetView>
  </sheetViews>
  <sheetFormatPr defaultRowHeight="14.4" x14ac:dyDescent="0.3"/>
  <cols>
    <col min="1" max="1" width="3.33203125" customWidth="1"/>
    <col min="2" max="2" width="27.109375" bestFit="1" customWidth="1"/>
    <col min="3" max="3" width="14.88671875" bestFit="1" customWidth="1"/>
    <col min="10" max="10" width="16.109375" bestFit="1" customWidth="1"/>
  </cols>
  <sheetData>
    <row r="2" spans="2:11" x14ac:dyDescent="0.3">
      <c r="B2" s="1" t="s">
        <v>0</v>
      </c>
      <c r="C2" s="1">
        <v>0</v>
      </c>
      <c r="D2" s="1">
        <f>C2+1</f>
        <v>1</v>
      </c>
      <c r="E2" s="1">
        <f t="shared" ref="E2:H2" si="0">D2+1</f>
        <v>2</v>
      </c>
      <c r="F2" s="1">
        <f t="shared" si="0"/>
        <v>3</v>
      </c>
      <c r="G2" s="1">
        <f t="shared" si="0"/>
        <v>4</v>
      </c>
      <c r="H2" s="1">
        <f t="shared" si="0"/>
        <v>5</v>
      </c>
    </row>
    <row r="4" spans="2:11" x14ac:dyDescent="0.3">
      <c r="B4" t="s">
        <v>1</v>
      </c>
      <c r="C4" s="2">
        <v>1000000</v>
      </c>
      <c r="D4">
        <f>C4*(1+D5)</f>
        <v>1050000</v>
      </c>
      <c r="E4">
        <f t="shared" ref="E4:H4" si="1">D4*(1+E5)</f>
        <v>1102500</v>
      </c>
      <c r="F4">
        <f t="shared" si="1"/>
        <v>1157625</v>
      </c>
      <c r="G4">
        <f t="shared" si="1"/>
        <v>1215506.25</v>
      </c>
      <c r="H4">
        <f t="shared" si="1"/>
        <v>1276281.5625</v>
      </c>
    </row>
    <row r="5" spans="2:11" x14ac:dyDescent="0.3">
      <c r="B5" t="s">
        <v>2</v>
      </c>
      <c r="D5" s="3">
        <v>0.05</v>
      </c>
      <c r="E5" s="4">
        <f>D5</f>
        <v>0.05</v>
      </c>
      <c r="F5" s="4">
        <f t="shared" ref="F5:G5" si="2">E5</f>
        <v>0.05</v>
      </c>
      <c r="G5" s="4">
        <f t="shared" si="2"/>
        <v>0.05</v>
      </c>
      <c r="H5" s="4">
        <f>G5</f>
        <v>0.05</v>
      </c>
    </row>
    <row r="7" spans="2:11" x14ac:dyDescent="0.3">
      <c r="B7" t="s">
        <v>3</v>
      </c>
      <c r="C7">
        <v>350000</v>
      </c>
      <c r="D7">
        <f>D4*D8</f>
        <v>367500</v>
      </c>
      <c r="E7">
        <f t="shared" ref="E7:H7" si="3">E4*E8</f>
        <v>385875</v>
      </c>
      <c r="F7">
        <f t="shared" si="3"/>
        <v>405168.75</v>
      </c>
      <c r="G7">
        <f t="shared" si="3"/>
        <v>425427.1875</v>
      </c>
      <c r="H7">
        <f t="shared" si="3"/>
        <v>446698.546875</v>
      </c>
    </row>
    <row r="8" spans="2:11" x14ac:dyDescent="0.3">
      <c r="B8" t="s">
        <v>4</v>
      </c>
      <c r="C8" s="6">
        <v>0.35</v>
      </c>
      <c r="D8" s="5">
        <f>C8</f>
        <v>0.35</v>
      </c>
      <c r="E8" s="5">
        <f t="shared" ref="E8:H8" si="4">D8</f>
        <v>0.35</v>
      </c>
      <c r="F8" s="5">
        <f t="shared" si="4"/>
        <v>0.35</v>
      </c>
      <c r="G8" s="5">
        <f t="shared" si="4"/>
        <v>0.35</v>
      </c>
      <c r="H8" s="5">
        <f t="shared" si="4"/>
        <v>0.35</v>
      </c>
    </row>
    <row r="9" spans="2:11" x14ac:dyDescent="0.3">
      <c r="C9" s="6"/>
      <c r="D9" s="5"/>
      <c r="E9" s="5"/>
      <c r="F9" s="5"/>
      <c r="G9" s="5"/>
      <c r="H9" s="5"/>
    </row>
    <row r="10" spans="2:11" x14ac:dyDescent="0.3">
      <c r="B10" t="s">
        <v>10</v>
      </c>
      <c r="C10" s="8">
        <f>C4*$K$10</f>
        <v>10000</v>
      </c>
      <c r="D10" s="8">
        <f t="shared" ref="D10:H10" si="5">D4*$K$10</f>
        <v>10500</v>
      </c>
      <c r="E10" s="8">
        <f t="shared" si="5"/>
        <v>11025</v>
      </c>
      <c r="F10" s="8">
        <f t="shared" si="5"/>
        <v>11576.25</v>
      </c>
      <c r="G10" s="8">
        <f t="shared" si="5"/>
        <v>12155.0625</v>
      </c>
      <c r="H10" s="8">
        <f t="shared" si="5"/>
        <v>12762.815625000001</v>
      </c>
      <c r="J10" t="s">
        <v>11</v>
      </c>
      <c r="K10" s="7">
        <v>0.01</v>
      </c>
    </row>
    <row r="11" spans="2:11" x14ac:dyDescent="0.3">
      <c r="B11" t="s">
        <v>12</v>
      </c>
      <c r="C11" s="9">
        <f>C7-C10</f>
        <v>340000</v>
      </c>
      <c r="D11" s="9">
        <f t="shared" ref="D11:H11" si="6">D7-D10</f>
        <v>357000</v>
      </c>
      <c r="E11" s="9">
        <f t="shared" si="6"/>
        <v>374850</v>
      </c>
      <c r="F11" s="9">
        <f t="shared" si="6"/>
        <v>393592.5</v>
      </c>
      <c r="G11" s="9">
        <f t="shared" si="6"/>
        <v>413272.125</v>
      </c>
      <c r="H11" s="9">
        <f t="shared" si="6"/>
        <v>433935.73125000001</v>
      </c>
    </row>
    <row r="13" spans="2:11" x14ac:dyDescent="0.3">
      <c r="B13" s="1" t="s">
        <v>5</v>
      </c>
    </row>
    <row r="14" spans="2:11" x14ac:dyDescent="0.3">
      <c r="B14" t="s">
        <v>3</v>
      </c>
      <c r="C14">
        <f>C7</f>
        <v>350000</v>
      </c>
      <c r="D14">
        <f t="shared" ref="D14:H14" si="7">D7</f>
        <v>367500</v>
      </c>
      <c r="E14">
        <f t="shared" si="7"/>
        <v>385875</v>
      </c>
      <c r="F14">
        <f t="shared" si="7"/>
        <v>405168.75</v>
      </c>
      <c r="G14">
        <f t="shared" si="7"/>
        <v>425427.1875</v>
      </c>
      <c r="H14">
        <f t="shared" si="7"/>
        <v>446698.546875</v>
      </c>
    </row>
    <row r="15" spans="2:11" x14ac:dyDescent="0.3">
      <c r="B15" t="s">
        <v>6</v>
      </c>
      <c r="D15">
        <f>-D11*$K$15</f>
        <v>-92820</v>
      </c>
      <c r="E15">
        <f t="shared" ref="E15:H15" si="8">-E11*$K$15</f>
        <v>-97461</v>
      </c>
      <c r="F15">
        <f t="shared" si="8"/>
        <v>-102334.05</v>
      </c>
      <c r="G15">
        <f t="shared" si="8"/>
        <v>-107450.7525</v>
      </c>
      <c r="H15">
        <f t="shared" si="8"/>
        <v>-112823.29012500001</v>
      </c>
      <c r="J15" t="s">
        <v>13</v>
      </c>
      <c r="K15" s="3">
        <v>0.26</v>
      </c>
    </row>
    <row r="16" spans="2:11" x14ac:dyDescent="0.3">
      <c r="B16" t="s">
        <v>7</v>
      </c>
      <c r="D16">
        <f>-D4*$K$16</f>
        <v>-10500</v>
      </c>
      <c r="E16">
        <f t="shared" ref="E16:H16" si="9">-E4*$K$16</f>
        <v>-11025</v>
      </c>
      <c r="F16">
        <f t="shared" si="9"/>
        <v>-11576.25</v>
      </c>
      <c r="G16">
        <f t="shared" si="9"/>
        <v>-12155.0625</v>
      </c>
      <c r="H16">
        <f t="shared" si="9"/>
        <v>-12762.815625000001</v>
      </c>
      <c r="J16" t="s">
        <v>14</v>
      </c>
      <c r="K16" s="3">
        <v>0.01</v>
      </c>
    </row>
    <row r="17" spans="2:11" x14ac:dyDescent="0.3">
      <c r="B17" t="s">
        <v>8</v>
      </c>
      <c r="D17">
        <f>-D4*$K$17</f>
        <v>-21000</v>
      </c>
      <c r="E17">
        <f t="shared" ref="E17:H17" si="10">-E4*$K$17</f>
        <v>-22050</v>
      </c>
      <c r="F17">
        <f t="shared" si="10"/>
        <v>-23152.5</v>
      </c>
      <c r="G17">
        <f t="shared" si="10"/>
        <v>-24310.125</v>
      </c>
      <c r="H17">
        <f t="shared" si="10"/>
        <v>-25525.631250000002</v>
      </c>
      <c r="J17" t="s">
        <v>15</v>
      </c>
      <c r="K17" s="3">
        <v>0.02</v>
      </c>
    </row>
    <row r="18" spans="2:11" x14ac:dyDescent="0.3">
      <c r="B18" s="1" t="s">
        <v>9</v>
      </c>
      <c r="C18" s="1"/>
      <c r="D18" s="1">
        <f>SUM(D14:D17)</f>
        <v>243180</v>
      </c>
      <c r="E18" s="1">
        <f t="shared" ref="E18:H18" si="11">SUM(E14:E17)</f>
        <v>255339</v>
      </c>
      <c r="F18" s="1">
        <f t="shared" si="11"/>
        <v>268105.95</v>
      </c>
      <c r="G18" s="1">
        <f t="shared" si="11"/>
        <v>281511.2475</v>
      </c>
      <c r="H18" s="1">
        <f t="shared" si="11"/>
        <v>295586.80987500004</v>
      </c>
    </row>
    <row r="20" spans="2:11" x14ac:dyDescent="0.3">
      <c r="B20" s="10" t="s">
        <v>16</v>
      </c>
    </row>
    <row r="21" spans="2:11" x14ac:dyDescent="0.3">
      <c r="B21" t="s">
        <v>17</v>
      </c>
      <c r="D21">
        <f>D18</f>
        <v>243180</v>
      </c>
      <c r="E21">
        <f t="shared" ref="E21:H21" si="12">E18</f>
        <v>255339</v>
      </c>
      <c r="F21">
        <f t="shared" si="12"/>
        <v>268105.95</v>
      </c>
      <c r="G21">
        <f t="shared" si="12"/>
        <v>281511.2475</v>
      </c>
      <c r="H21">
        <f t="shared" si="12"/>
        <v>295586.80987500004</v>
      </c>
    </row>
    <row r="22" spans="2:11" x14ac:dyDescent="0.3">
      <c r="B22" t="s">
        <v>19</v>
      </c>
      <c r="H22">
        <f>H7*K22</f>
        <v>5360382.5625</v>
      </c>
      <c r="J22" t="s">
        <v>18</v>
      </c>
      <c r="K22" s="12">
        <v>12</v>
      </c>
    </row>
    <row r="23" spans="2:11" x14ac:dyDescent="0.3">
      <c r="B23" s="11" t="s">
        <v>20</v>
      </c>
      <c r="C23" s="11"/>
      <c r="D23" s="11">
        <f>SUM(D21:D22)</f>
        <v>243180</v>
      </c>
      <c r="E23" s="11">
        <f t="shared" ref="E23:H23" si="13">SUM(E21:E22)</f>
        <v>255339</v>
      </c>
      <c r="F23" s="11">
        <f t="shared" si="13"/>
        <v>268105.95</v>
      </c>
      <c r="G23" s="11">
        <f t="shared" si="13"/>
        <v>281511.2475</v>
      </c>
      <c r="H23" s="11">
        <f t="shared" si="13"/>
        <v>5655969.3723750003</v>
      </c>
    </row>
    <row r="25" spans="2:11" x14ac:dyDescent="0.3">
      <c r="B25" t="s">
        <v>22</v>
      </c>
      <c r="D25">
        <f>D23/(1+$K$25)^D2</f>
        <v>221072.72727272726</v>
      </c>
      <c r="E25">
        <f t="shared" ref="E25:H25" si="14">E23/(1+$K$25)^E2</f>
        <v>211023.96694214872</v>
      </c>
      <c r="F25">
        <f t="shared" si="14"/>
        <v>201431.96844477832</v>
      </c>
      <c r="G25">
        <f t="shared" si="14"/>
        <v>192275.96987910656</v>
      </c>
      <c r="H25">
        <f t="shared" si="14"/>
        <v>3511911.9858771437</v>
      </c>
      <c r="J25" t="s">
        <v>21</v>
      </c>
      <c r="K25" s="3">
        <v>0.1</v>
      </c>
    </row>
    <row r="26" spans="2:11" x14ac:dyDescent="0.3">
      <c r="B26" t="s">
        <v>23</v>
      </c>
      <c r="C26" s="13">
        <f>NPV(K25,D23:H23)</f>
        <v>4337716.6184159033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Anjani Kumar Mishra</dc:creator>
  <cp:lastModifiedBy>Anjani Kumar Mishra</cp:lastModifiedBy>
  <dcterms:created xsi:type="dcterms:W3CDTF">2026-04-05T13:21:29Z</dcterms:created>
  <dcterms:modified xsi:type="dcterms:W3CDTF">2026-04-05T14:00:38Z</dcterms:modified>
</cp:coreProperties>
</file>