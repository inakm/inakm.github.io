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lp\data\"/>
    </mc:Choice>
  </mc:AlternateContent>
  <bookViews>
    <workbookView xWindow="0" yWindow="0" windowWidth="28590" windowHeight="11550"/>
  </bookViews>
  <sheets>
    <sheet name="Sheet1" sheetId="1" r:id="rId1"/>
  </sheets>
  <calcPr calcId="162913"/>
</workbook>
</file>

<file path=xl/calcChain.xml><?xml version="1.0" encoding="utf-8"?>
<calcChain xmlns="http://schemas.openxmlformats.org/spreadsheetml/2006/main">
  <c r="I19" i="1" l="1"/>
  <c r="I5"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J18" i="1"/>
  <c r="I18" i="1"/>
  <c r="J17" i="1"/>
  <c r="I17" i="1"/>
  <c r="J16" i="1"/>
  <c r="I16" i="1"/>
  <c r="J15" i="1"/>
  <c r="I15" i="1"/>
  <c r="J14" i="1"/>
  <c r="I14" i="1"/>
  <c r="J13" i="1"/>
  <c r="I13" i="1"/>
  <c r="J12" i="1"/>
  <c r="I12" i="1"/>
  <c r="J11" i="1"/>
  <c r="I11" i="1"/>
  <c r="J10" i="1"/>
  <c r="I10" i="1"/>
  <c r="J9" i="1"/>
  <c r="I9" i="1"/>
  <c r="J8" i="1"/>
  <c r="I8" i="1"/>
  <c r="J7" i="1"/>
  <c r="I7" i="1"/>
  <c r="J6" i="1"/>
  <c r="I6" i="1"/>
  <c r="J5" i="1"/>
  <c r="K5" i="1"/>
</calcChain>
</file>

<file path=xl/sharedStrings.xml><?xml version="1.0" encoding="utf-8"?>
<sst xmlns="http://schemas.openxmlformats.org/spreadsheetml/2006/main" count="330" uniqueCount="330">
  <si>
    <t>EQY_FUND_CRNCY</t>
  </si>
  <si>
    <t>REL_INDEX</t>
  </si>
  <si>
    <t>FA_ADJUSTED</t>
  </si>
  <si>
    <t>LCL</t>
  </si>
  <si>
    <t>Ticker</t>
  </si>
  <si>
    <t>Name</t>
  </si>
  <si>
    <t>Market Cap</t>
  </si>
  <si>
    <t>Price:D-1</t>
  </si>
  <si>
    <t>P/E</t>
  </si>
  <si>
    <t>Total Return YTD</t>
  </si>
  <si>
    <t>Revenue T12M</t>
  </si>
  <si>
    <t>EPS T12M</t>
  </si>
  <si>
    <t>None (166 securities)</t>
  </si>
  <si>
    <t>LT IN Equity</t>
  </si>
  <si>
    <t>LARSEN &amp; TOUBRO LTD</t>
  </si>
  <si>
    <t>ADSEZ IN Equity</t>
  </si>
  <si>
    <t>ADANI PORTS AND SPECIAL ECON</t>
  </si>
  <si>
    <t>BHE IN Equity</t>
  </si>
  <si>
    <t>BHARAT ELECTRONICS LTD</t>
  </si>
  <si>
    <t>HNAL IN Equity</t>
  </si>
  <si>
    <t>HINDUSTAN AERONAUTICS LTD</t>
  </si>
  <si>
    <t>INDIGO IN Equity</t>
  </si>
  <si>
    <t>INTERGLOBE AVIATION LTD</t>
  </si>
  <si>
    <t>ABB IN Equity</t>
  </si>
  <si>
    <t>ABB INDIA LTD</t>
  </si>
  <si>
    <t>KKC IN Equity</t>
  </si>
  <si>
    <t>CUMMINS INDIA LTD</t>
  </si>
  <si>
    <t>IRFC IN Equity</t>
  </si>
  <si>
    <t>INDIAN RAILWAY FINANCE CORP</t>
  </si>
  <si>
    <t>INDUSTOW IN Equity</t>
  </si>
  <si>
    <t>INDUS TOWERS LTD</t>
  </si>
  <si>
    <t>POWERIND IN Equity</t>
  </si>
  <si>
    <t>HITACHI ENERGY INDIA LTD</t>
  </si>
  <si>
    <t>SIEM IN Equity</t>
  </si>
  <si>
    <t>SIEMENS LTD</t>
  </si>
  <si>
    <t>POLYCAB IN Equity</t>
  </si>
  <si>
    <t>POLYCAB INDIA LTD</t>
  </si>
  <si>
    <t>CGPOWER IN Equity</t>
  </si>
  <si>
    <t>CG POWER AND INDUSTRIAL SOLU</t>
  </si>
  <si>
    <t>ENRIN IN Equity</t>
  </si>
  <si>
    <t>SIEMENS ENERGY INDIA LTD</t>
  </si>
  <si>
    <t>AL IN Equity</t>
  </si>
  <si>
    <t>ASHOK LEYLAND LTD</t>
  </si>
  <si>
    <t>GVTD IN Equity</t>
  </si>
  <si>
    <t>GE VERNOVA T&amp;D INDIA LTD</t>
  </si>
  <si>
    <t>MAZDOCKS IN Equity</t>
  </si>
  <si>
    <t>MAZAGON DOCK SHIPBUILDERS LT</t>
  </si>
  <si>
    <t>BHEL IN Equity</t>
  </si>
  <si>
    <t>BHARAT HEAVY ELECTRICALS</t>
  </si>
  <si>
    <t>BHFC IN Equity</t>
  </si>
  <si>
    <t>BHARAT FORGE LTD</t>
  </si>
  <si>
    <t>HAVL IN Equity</t>
  </si>
  <si>
    <t>HAVELLS INDIA LTD</t>
  </si>
  <si>
    <t>SCHFL IN Equity</t>
  </si>
  <si>
    <t>SCHAEFFLER INDIA LTD</t>
  </si>
  <si>
    <t>RVNL IN Equity</t>
  </si>
  <si>
    <t>RAIL VIKAS NIGAM LTD</t>
  </si>
  <si>
    <t>APAT IN Equity</t>
  </si>
  <si>
    <t>APL APOLLO TUBES LTD</t>
  </si>
  <si>
    <t>JSWINFRA IN Equity</t>
  </si>
  <si>
    <t>JSW INFRASTRUCTURE LTD</t>
  </si>
  <si>
    <t>BDL IN Equity</t>
  </si>
  <si>
    <t>BHARAT DYNAMICS LTD</t>
  </si>
  <si>
    <t>VOLT IN Equity</t>
  </si>
  <si>
    <t>VOLTAS LTD</t>
  </si>
  <si>
    <t>IRCTC IN Equity</t>
  </si>
  <si>
    <t>INDIAN RAILWAY CATERING &amp; TO</t>
  </si>
  <si>
    <t>KEII IN Equity</t>
  </si>
  <si>
    <t>KEI INDUSTRIES LTD</t>
  </si>
  <si>
    <t>APR IN Equity</t>
  </si>
  <si>
    <t>APAR INDUSTRIES LTD</t>
  </si>
  <si>
    <t>TMX IN Equity</t>
  </si>
  <si>
    <t>THERMAX LTD</t>
  </si>
  <si>
    <t>COCHIN IN Equity</t>
  </si>
  <si>
    <t>COCHIN SHIPYARD LTD</t>
  </si>
  <si>
    <t>BLSTR IN Equity</t>
  </si>
  <si>
    <t>BLUE STAR LTD</t>
  </si>
  <si>
    <t>ESCORTS IN Equity</t>
  </si>
  <si>
    <t>ESCORTS KUBOTA LTD</t>
  </si>
  <si>
    <t>CCRI IN Equity</t>
  </si>
  <si>
    <t>CONTAINER CORP OF INDIA LTD</t>
  </si>
  <si>
    <t>AIAE IN Equity</t>
  </si>
  <si>
    <t>AIA ENGINEERING LTD</t>
  </si>
  <si>
    <t>DELHIVER IN Equity</t>
  </si>
  <si>
    <t>DELHIVERY LTD</t>
  </si>
  <si>
    <t>GRSE IN Equity</t>
  </si>
  <si>
    <t>GARDEN REACH SHIPBUILDERS &amp;</t>
  </si>
  <si>
    <t>HWA IN Equity</t>
  </si>
  <si>
    <t>HONEYWELL AUTOMATION INDIA</t>
  </si>
  <si>
    <t>IRB IN Equity</t>
  </si>
  <si>
    <t>IRB INFRASTRUCTURE DEVELOPER</t>
  </si>
  <si>
    <t>TMKN IN Equity</t>
  </si>
  <si>
    <t>TIMKEN INDIA LTD</t>
  </si>
  <si>
    <t>AMBER IN Equity</t>
  </si>
  <si>
    <t>AMBER ENTERPRISES INDIA LTD</t>
  </si>
  <si>
    <t>NBCC IN Equity</t>
  </si>
  <si>
    <t>NBCC INDIA LTD</t>
  </si>
  <si>
    <t>SCHN IN Equity</t>
  </si>
  <si>
    <t>SCHNEIDER ELECTRIC INFRASTRU</t>
  </si>
  <si>
    <t>GESCO IN Equity</t>
  </si>
  <si>
    <t>GREAT EASTERN SHIPPING CO</t>
  </si>
  <si>
    <t>AEGISVOP IN Equity</t>
  </si>
  <si>
    <t>AEGIS VOPAK TERMINALS LTD</t>
  </si>
  <si>
    <t>KPIL IN Equity</t>
  </si>
  <si>
    <t>KALPATARU PROJECTS INTERNATI</t>
  </si>
  <si>
    <t>DATAPATT IN Equity</t>
  </si>
  <si>
    <t>DATA PATTERNS INDIA LTD</t>
  </si>
  <si>
    <t>SF IN Equity</t>
  </si>
  <si>
    <t>SUNDRAM FASTENERS LTD</t>
  </si>
  <si>
    <t>JYOTICNC IN Equity</t>
  </si>
  <si>
    <t>JYOTI CNC AUTOMATION LTD</t>
  </si>
  <si>
    <t>RRKABEL IN Equity</t>
  </si>
  <si>
    <t>RR KABEL LTD</t>
  </si>
  <si>
    <t>ELEQ IN Equity</t>
  </si>
  <si>
    <t>ELGI EQUIPMENTS LTD</t>
  </si>
  <si>
    <t>SYRMA IN Equity</t>
  </si>
  <si>
    <t>SYRMA SGS TECHNOLOGY LTD</t>
  </si>
  <si>
    <t>LMW IN Equity</t>
  </si>
  <si>
    <t>LMW LTD</t>
  </si>
  <si>
    <t>IGIL IN Equity</t>
  </si>
  <si>
    <t>INTERNATIONAL GEMMOLOGICAL I</t>
  </si>
  <si>
    <t>KECI IN Equity</t>
  </si>
  <si>
    <t>KEC INTERNATIONAL LTD</t>
  </si>
  <si>
    <t>TRIV IN Equity</t>
  </si>
  <si>
    <t>TRIVENI TURBINE LTD</t>
  </si>
  <si>
    <t>VGRD IN Equity</t>
  </si>
  <si>
    <t>V-GUARD INDUSTRIES LTD</t>
  </si>
  <si>
    <t>KSB IN Equity</t>
  </si>
  <si>
    <t>KSB LTD</t>
  </si>
  <si>
    <t>SANSERA IN Equity</t>
  </si>
  <si>
    <t>SANSERA ENGINEERING LTD</t>
  </si>
  <si>
    <t>TDPS IN Equity</t>
  </si>
  <si>
    <t>TD POWER SYSTEMS LTD</t>
  </si>
  <si>
    <t>FNXC IN Equity</t>
  </si>
  <si>
    <t>FINOLEX CABLES LTD</t>
  </si>
  <si>
    <t>TEGA IN Equity</t>
  </si>
  <si>
    <t>TEGA INDUSTRIES LTD</t>
  </si>
  <si>
    <t>BEML IN Equity</t>
  </si>
  <si>
    <t>BEML LTD</t>
  </si>
  <si>
    <t>JSAW IN Equity</t>
  </si>
  <si>
    <t>JINDAL SAW LTD</t>
  </si>
  <si>
    <t>KKB IN Equity</t>
  </si>
  <si>
    <t>KIRLOSKAR BROTHERS LTD</t>
  </si>
  <si>
    <t>SPPT IN Equity</t>
  </si>
  <si>
    <t>SUPREME PETROCHEM LTD</t>
  </si>
  <si>
    <t>BDE IN Equity</t>
  </si>
  <si>
    <t>BLUE DART EXPRESS LTD</t>
  </si>
  <si>
    <t>GRIL IN Equity</t>
  </si>
  <si>
    <t>GRAPHITE INDIA LTD</t>
  </si>
  <si>
    <t>IRCON IN Equity</t>
  </si>
  <si>
    <t>IRCON INTERNATIONAL LTD</t>
  </si>
  <si>
    <t>INGR IN Equity</t>
  </si>
  <si>
    <t>INGERSOLL-RAND INDIA LTD</t>
  </si>
  <si>
    <t>JWL IN Equity</t>
  </si>
  <si>
    <t>JUPITER WAGONS LTD</t>
  </si>
  <si>
    <t>SHEP IN Equity</t>
  </si>
  <si>
    <t>SHAILY ENGINEERING PLASTICS</t>
  </si>
  <si>
    <t>SCI IN Equity</t>
  </si>
  <si>
    <t>SHIPPING CORP OF INDIA LTD</t>
  </si>
  <si>
    <t>MTARTECH IN Equity</t>
  </si>
  <si>
    <t>MTAR TECHNOLOGIES LTD</t>
  </si>
  <si>
    <t>ENGR IN Equity</t>
  </si>
  <si>
    <t>ENGINEERS INDIA LTD</t>
  </si>
  <si>
    <t>INOXINDI IN Equity</t>
  </si>
  <si>
    <t>INOX INDIA LTD</t>
  </si>
  <si>
    <t>AFCONS IN Equity</t>
  </si>
  <si>
    <t>AFCONS INFRASTUCTURE LTD</t>
  </si>
  <si>
    <t>BLSIN IN Equity</t>
  </si>
  <si>
    <t>BLS INTERNATIONAL LTD</t>
  </si>
  <si>
    <t>ACCE IN Equity</t>
  </si>
  <si>
    <t>ACTION CONSTRUCTION EQUIPMEN</t>
  </si>
  <si>
    <t>HEG IN Equity</t>
  </si>
  <si>
    <t>HEG LTD</t>
  </si>
  <si>
    <t>AZAD IN Equity</t>
  </si>
  <si>
    <t>AZAD ENGINEERING LTD</t>
  </si>
  <si>
    <t>CEMPRO IN Equity</t>
  </si>
  <si>
    <t>CEMINDIA PROJECTS LTD</t>
  </si>
  <si>
    <t>RITE IN Equity</t>
  </si>
  <si>
    <t>RITES LTD</t>
  </si>
  <si>
    <t>CYL IN Equity</t>
  </si>
  <si>
    <t>CYIENT LTD</t>
  </si>
  <si>
    <t>RMKF IN Equity</t>
  </si>
  <si>
    <t>RAMKRISHNA FORGINGS LTD</t>
  </si>
  <si>
    <t>OLECTRA IN Equity</t>
  </si>
  <si>
    <t>OLECTRA GREENTECH LTD</t>
  </si>
  <si>
    <t>EUREKAFO IN Equity</t>
  </si>
  <si>
    <t>EUREKA FORBES LTD</t>
  </si>
  <si>
    <t>NJCC IN Equity</t>
  </si>
  <si>
    <t>NCC LTD</t>
  </si>
  <si>
    <t>ELCN IN Equity</t>
  </si>
  <si>
    <t>ELECON ENGINEERING CO LTD</t>
  </si>
  <si>
    <t>VAMP IN Equity</t>
  </si>
  <si>
    <t>VOLTAMP TRANSFORMERS LTD</t>
  </si>
  <si>
    <t>TARIL IN Equity</t>
  </si>
  <si>
    <t>TRANSFORMERS &amp; RECTIFIERS IN</t>
  </si>
  <si>
    <t>TITAGARH IN Equity</t>
  </si>
  <si>
    <t>TITAGARH RAIL SYSTEM LTD</t>
  </si>
  <si>
    <t>ESAB IN Equity</t>
  </si>
  <si>
    <t>ESAB INDIA LTD</t>
  </si>
  <si>
    <t>GRINFRA IN Equity</t>
  </si>
  <si>
    <t>G R INFRAPROJECTS LTD</t>
  </si>
  <si>
    <t>GMRPUI IN Equity</t>
  </si>
  <si>
    <t>GMR POWER AND URBAN INFRA LT</t>
  </si>
  <si>
    <t>BNCO IN Equity</t>
  </si>
  <si>
    <t>BANCO PRODUCTS (INDIA) LTD</t>
  </si>
  <si>
    <t>VATW IN Equity</t>
  </si>
  <si>
    <t>VA TECH WABAG LTD</t>
  </si>
  <si>
    <t>SKF IN Equity</t>
  </si>
  <si>
    <t>SKF INDIA LTD</t>
  </si>
  <si>
    <t>MHS IN Equity</t>
  </si>
  <si>
    <t>MAHARASHTRA SEAMLESS LTD</t>
  </si>
  <si>
    <t>GPPV IN Equity</t>
  </si>
  <si>
    <t>GUJARAT PIPAVAV PORT LTD</t>
  </si>
  <si>
    <t>GPIN IN Equity</t>
  </si>
  <si>
    <t>GENUS POWER INFRASTRUCTURES</t>
  </si>
  <si>
    <t>TRPC IN Equity</t>
  </si>
  <si>
    <t>TRANSPORT CORP OF INDIA LTD</t>
  </si>
  <si>
    <t>NGE IN Equity</t>
  </si>
  <si>
    <t>JAYASWAL NECO INDUSTRIES LTD</t>
  </si>
  <si>
    <t>APOLLO IN Equity</t>
  </si>
  <si>
    <t>APOLLO MICRO SYSTEMS LTD</t>
  </si>
  <si>
    <t>KKPC IN Equity</t>
  </si>
  <si>
    <t>KIRLOSKAR PNEUMATIC CO LTD</t>
  </si>
  <si>
    <t>DIACABS IN Equity</t>
  </si>
  <si>
    <t>DIAMOND POWER INFRA LTD</t>
  </si>
  <si>
    <t>DBL IN Equity</t>
  </si>
  <si>
    <t>DILIP BUILDCON LTD</t>
  </si>
  <si>
    <t>DYTC IN Equity</t>
  </si>
  <si>
    <t>DYNAMATIC TECHNOLOGIES LTD</t>
  </si>
  <si>
    <t>IGSEC IN Equity</t>
  </si>
  <si>
    <t>ISGEC HEAVY ENGINEERING LTD</t>
  </si>
  <si>
    <t>WELENT IN Equity</t>
  </si>
  <si>
    <t>WELSPUN ENTERPRISES LTD/NEW</t>
  </si>
  <si>
    <t>POWM IN Equity</t>
  </si>
  <si>
    <t>POWER MECH PROJECTS LTD</t>
  </si>
  <si>
    <t>SKPI IN Equity</t>
  </si>
  <si>
    <t>SHAKTI PUMPS (INDIA) LTD</t>
  </si>
  <si>
    <t>LLOYDSEN IN Equity</t>
  </si>
  <si>
    <t>LLOYDS ENGINEERING WORKS LTD</t>
  </si>
  <si>
    <t>AXET IN Equity</t>
  </si>
  <si>
    <t>AXISCADES TECHNOLOGIES LTD</t>
  </si>
  <si>
    <t>MIDHANI IN Equity</t>
  </si>
  <si>
    <t>MISHRA DHATU NIGAM LTD</t>
  </si>
  <si>
    <t>SMLMAH IN Equity</t>
  </si>
  <si>
    <t>SML MAHINDRA LTD</t>
  </si>
  <si>
    <t>PRJ IN Equity</t>
  </si>
  <si>
    <t>PRAJ INDUSTRIES LTD</t>
  </si>
  <si>
    <t>KRN IN Equity</t>
  </si>
  <si>
    <t>KRN HEAT EXCHANGER AND REFRI</t>
  </si>
  <si>
    <t>PWI IN Equity</t>
  </si>
  <si>
    <t>PRECISION WIRES INDIA LTD</t>
  </si>
  <si>
    <t>LGBB IN Equity</t>
  </si>
  <si>
    <t>L.G. BALAKRISHNAN &amp; BROS LTD</t>
  </si>
  <si>
    <t>AJAXENGG IN Equity</t>
  </si>
  <si>
    <t>AJAX ENGINEERING LTD</t>
  </si>
  <si>
    <t>PARAS IN Equity</t>
  </si>
  <si>
    <t>PARAS DEFENCE &amp; SPACE TECHNO</t>
  </si>
  <si>
    <t>BALUFORG IN Equity</t>
  </si>
  <si>
    <t>BALU FORGE INDUSTRIES LTD</t>
  </si>
  <si>
    <t>TIIL IN Equity</t>
  </si>
  <si>
    <t>TECHNOCRAFT INDUSTRIES INDIA</t>
  </si>
  <si>
    <t>ION IN Equity</t>
  </si>
  <si>
    <t>ION EXCHANGE (INDIA) LTD</t>
  </si>
  <si>
    <t>AHLU IN Equity</t>
  </si>
  <si>
    <t>AHLUWALIA CONTRACTS LTD</t>
  </si>
  <si>
    <t>PNCL IN Equity</t>
  </si>
  <si>
    <t>PNC INFRATECH LTD</t>
  </si>
  <si>
    <t>CEIGALL IN Equity</t>
  </si>
  <si>
    <t>CEIGALL INDIA LTD</t>
  </si>
  <si>
    <t>CMSINFO IN Equity</t>
  </si>
  <si>
    <t>CMS INFO SYSTEMS LTD</t>
  </si>
  <si>
    <t>SCTE IN Equity</t>
  </si>
  <si>
    <t>SHILCHAR TECHNOLOGIES LTD</t>
  </si>
  <si>
    <t>VSTT IN Equity</t>
  </si>
  <si>
    <t>VST TILLERS TRACTORS LTD</t>
  </si>
  <si>
    <t>VRLL IN Equity</t>
  </si>
  <si>
    <t>VRL LOGISTICS LTD</t>
  </si>
  <si>
    <t>UNIMECH IN Equity</t>
  </si>
  <si>
    <t>UNIMECH AEROSPACE AND MANUFA</t>
  </si>
  <si>
    <t>HCC IN Equity</t>
  </si>
  <si>
    <t>HINDUSTAN CONSTRUCTION CO</t>
  </si>
  <si>
    <t>SKIPPER IN Equity</t>
  </si>
  <si>
    <t>SKIPPER LTD</t>
  </si>
  <si>
    <t>SECIS IN Equity</t>
  </si>
  <si>
    <t>SIS LTD</t>
  </si>
  <si>
    <t>GMM IN Equity</t>
  </si>
  <si>
    <t>GMM PFAUDLER LTD</t>
  </si>
  <si>
    <t>WPI IN Equity</t>
  </si>
  <si>
    <t>WPIL LTD</t>
  </si>
  <si>
    <t>JKIL IN Equity</t>
  </si>
  <si>
    <t>J.KUMAR INFRAPROJECTS LTD</t>
  </si>
  <si>
    <t>MINF IN Equity</t>
  </si>
  <si>
    <t>MAN INFRACONSTRUCTION LTD</t>
  </si>
  <si>
    <t>TXMRE IN Equity</t>
  </si>
  <si>
    <t>TEXMACO RAIL &amp; ENGINEERING L</t>
  </si>
  <si>
    <t>ORIENTEL IN Equity</t>
  </si>
  <si>
    <t>ORIENT ELECTRIC LTD</t>
  </si>
  <si>
    <t>BOSCHHCI IN Equity</t>
  </si>
  <si>
    <t>BOSCH HOME COMFORT INDIA LTD</t>
  </si>
  <si>
    <t>STYRENIX IN Equity</t>
  </si>
  <si>
    <t>STYRENIX PERFORMANCE MATERIA</t>
  </si>
  <si>
    <t>SG IN Equity</t>
  </si>
  <si>
    <t>SHANTHI GEARS LTD</t>
  </si>
  <si>
    <t>KNRC IN Equity</t>
  </si>
  <si>
    <t>KNR CONSTRUCTIONS LTD</t>
  </si>
  <si>
    <t>RMKY IN Equity</t>
  </si>
  <si>
    <t>RAMKY INFRASTRUCTURE LTD</t>
  </si>
  <si>
    <t>HGINFRA IN Equity</t>
  </si>
  <si>
    <t>HG INFRA ENGINEERING LTD</t>
  </si>
  <si>
    <t>ASBL IN Equity</t>
  </si>
  <si>
    <t>ASHOKA BUILDCON LTD</t>
  </si>
  <si>
    <t>ANUP IN Equity</t>
  </si>
  <si>
    <t>ANUP ENGINEERING LIMITED/THE</t>
  </si>
  <si>
    <t>BONDADA IN Equity</t>
  </si>
  <si>
    <t>BONDADA ENGINEERING PVT LTD</t>
  </si>
  <si>
    <t>PITTIENG IN Equity</t>
  </si>
  <si>
    <t>PITTI ENGINEERING LTD</t>
  </si>
  <si>
    <t>REFX IN Equity</t>
  </si>
  <si>
    <t>REFEX INDUSTRIES LTD</t>
  </si>
  <si>
    <t>QUESS IN Equity</t>
  </si>
  <si>
    <t>QUESS CORP LTD</t>
  </si>
  <si>
    <t>EIEL IN Equity</t>
  </si>
  <si>
    <t>ENVIRO INFRA ENGINEERS LTD</t>
  </si>
  <si>
    <t>GRFL IN Equity</t>
  </si>
  <si>
    <t>GATEWAY DISTRIPARKS LTD</t>
  </si>
  <si>
    <t>SJET IN Equity</t>
  </si>
  <si>
    <t>SPICEJET LTD</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</si>
  <si>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</si>
  <si>
    <t>RM</t>
  </si>
  <si>
    <t>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</si>
</sst>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
    <numFmt numFmtId="165" formatCode="##0"/>
    <numFmt numFmtId="166" formatCode="#,##0.##"/>
    <numFmt numFmtId="167" formatCode="#,##0.###"/>
    <numFmt numFmtId="168" formatCode="mm/dd/yyyy"/>
  </numFmts>
  <fonts count="1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
      <b/>
      <sz val="10"/>
      <name val="Calibri"/>
      <family val="2"/>
    </font>
    <font>
      <b/>
      <sz val="10"/>
      <name val="Arial"/>
      <family val="2"/>
    </font>
    <font>
      <sz val="10"/>
      <name val="Arial"/>
      <family val="2"/>
    </font>
  </fonts>
  <fills count="5">
    <fill>
      <patternFill patternType="none"/>
    </fill>
    <fill>
      <patternFill patternType="gray125"/>
    </fill>
    <fill>
      <patternFill patternType="solid">
        <fgColor rgb="FF93A183"/>
      </patternFill>
    </fill>
    <fill>
      <patternFill patternType="solid">
        <fgColor rgb="FFB8C2AD"/>
      </patternFill>
    </fill>
    <fill>
      <patternFill patternType="solid">
        <fgColor rgb="FFFFFF00"/>
        <bgColor indexed="64"/>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6">
    <xf numFmtId="0" fontId="0" fillId="0" borderId="0" xfId="0" applyNumberFormat="1" applyFont="1" applyProtection="1"/>
    <xf numFmtId="0" fontId="3" fillId="0" borderId="0" xfId="28" applyNumberFormat="1" applyFont="1" applyProtection="1"/>
    <xf numFmtId="0" fontId="3" fillId="0" borderId="0" xfId="28" applyNumberFormat="1" applyFont="1" applyAlignment="1" applyProtection="1">
      <alignment horizontal="right"/>
    </xf>
    <xf numFmtId="0" fontId="6" fillId="0" borderId="0" xfId="28" applyNumberFormat="1" applyFont="1" applyProtection="1"/>
    <xf numFmtId="0" fontId="6" fillId="0" borderId="0" xfId="13" applyNumberFormat="1" applyFont="1" applyAlignment="1" applyProtection="1">
      <alignment horizontal="left"/>
    </xf>
    <xf numFmtId="0" fontId="6" fillId="0" borderId="0" xfId="28" applyNumberFormat="1" applyFont="1" applyAlignment="1" applyProtection="1">
      <alignment horizontal="right"/>
    </xf>
    <xf numFmtId="0" fontId="7" fillId="3" borderId="0" xfId="4" applyNumberFormat="1" applyFont="1" applyFill="1" applyAlignment="1" applyProtection="1">
      <alignment horizontal="center"/>
    </xf>
    <xf numFmtId="0" fontId="6" fillId="0" borderId="0" xfId="28" applyNumberFormat="1" applyFont="1" applyAlignment="1" applyProtection="1">
      <alignment horizontal="left"/>
    </xf>
    <xf numFmtId="2" fontId="6" fillId="0" borderId="0" xfId="28" applyNumberFormat="1" applyFont="1" applyAlignment="1" applyProtection="1">
      <alignment horizontal="right"/>
    </xf>
    <xf numFmtId="0" fontId="5" fillId="0" borderId="0" xfId="21" applyNumberFormat="1" applyFont="1" applyAlignment="1" applyProtection="1">
      <alignment vertical="top" wrapText="1"/>
    </xf>
    <xf numFmtId="0" fontId="8" fillId="0" borderId="0" xfId="28" applyNumberFormat="1" applyFont="1" applyProtection="1"/>
    <xf numFmtId="0" fontId="9" fillId="3" borderId="0" xfId="4" applyNumberFormat="1" applyFont="1" applyFill="1" applyAlignment="1" applyProtection="1">
      <alignment horizontal="center"/>
    </xf>
    <xf numFmtId="0" fontId="10" fillId="0" borderId="0" xfId="28" applyNumberFormat="1" applyFont="1" applyProtection="1"/>
    <xf numFmtId="0" fontId="6" fillId="4" borderId="0" xfId="28" applyNumberFormat="1" applyFont="1" applyFill="1" applyAlignment="1" applyProtection="1">
      <alignment horizontal="left"/>
    </xf>
    <xf numFmtId="2" fontId="6" fillId="4" borderId="0" xfId="28" applyNumberFormat="1" applyFont="1" applyFill="1" applyAlignment="1" applyProtection="1">
      <alignment horizontal="right"/>
    </xf>
    <xf numFmtId="0" fontId="6" fillId="4" borderId="0" xfId="28" applyNumberFormat="1" applyFont="1" applyFill="1" applyProtection="1"/>
  </cellXfs>
  <cellStyles count="29">
    <cellStyle name="bolddate" xfId="25"/>
    <cellStyle name="boldleftdate" xfId="27"/>
    <cellStyle name="boldnoDecimalDigits" xfId="10"/>
    <cellStyle name="boldpercentage" xfId="6"/>
    <cellStyle name="boldrightdate" xfId="26"/>
    <cellStyle name="boldthreeDecimalDigits" xfId="12"/>
    <cellStyle name="boldtwoDecimalDigits" xfId="11"/>
    <cellStyle name="date" xfId="22"/>
    <cellStyle name="defaultsheetstyle" xfId="28"/>
    <cellStyle name="disclaimer" xfId="21"/>
    <cellStyle name="leftdate" xfId="24"/>
    <cellStyle name="leftplainBoldText" xfId="19"/>
    <cellStyle name="leftplainText" xfId="17"/>
    <cellStyle name="noDecimalDigits" xfId="7"/>
    <cellStyle name="Normal" xfId="0" builtinId="0"/>
    <cellStyle name="percentage" xfId="5"/>
    <cellStyle name="plainBoldText" xfId="14"/>
    <cellStyle name="plainBoldValues" xfId="16"/>
    <cellStyle name="plainText" xfId="13"/>
    <cellStyle name="plainValues" xfId="15"/>
    <cellStyle name="rightdate" xfId="23"/>
    <cellStyle name="rightplainBoldText" xfId="20"/>
    <cellStyle name="rightplainText" xfId="18"/>
    <cellStyle name="sheetReportTitle" xfId="2"/>
    <cellStyle name="sheetTitle" xfId="1"/>
    <cellStyle name="tableHeader" xfId="3"/>
    <cellStyle name="tablesubHeader" xfId="4"/>
    <cellStyle name="threeDecimalDigits" xfId="9"/>
    <cellStyle name="twoDecimalDigits"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63"/>
  <sheetViews>
    <sheetView tabSelected="1" topLeftCell="A4" workbookViewId="0">
      <selection activeCell="K5" sqref="K5"/>
    </sheetView>
  </sheetViews>
  <sheetFormatPr defaultRowHeight="12"/>
  <cols>
    <col min="1" max="1" width="21.28515625" style="2" customWidth="1"/>
    <col min="2" max="2" width="35.42578125" style="2" bestFit="1" customWidth="1"/>
    <col min="3" max="3" width="18.85546875" style="2" customWidth="1"/>
    <col min="4" max="4" width="11.140625" style="2" customWidth="1"/>
    <col min="5" max="5" width="9.5703125" style="2" customWidth="1"/>
    <col min="6" max="6" width="16.42578125" style="2" bestFit="1" customWidth="1"/>
    <col min="7" max="7" width="16.7109375" style="2" bestFit="1" customWidth="1"/>
    <col min="8" max="8" width="10" style="1" bestFit="1" customWidth="1"/>
    <col min="9" max="10" width="12" style="1" bestFit="1" customWidth="1"/>
    <col min="11" max="11" width="11.140625" style="1" customWidth="1"/>
    <col min="12" max="16384" width="9.140625" style="1"/>
  </cols>
  <sheetData>
    <row r="1" spans="1:11" s="3" customFormat="1" ht="12.75">
      <c r="A1" s="4" t="s">
        <v>0</v>
      </c>
      <c r="B1" s="4" t="s">
        <v>1</v>
      </c>
      <c r="C1" s="4" t="s">
        <v>2</v>
      </c>
      <c r="D1" s="5"/>
      <c r="E1" s="5"/>
      <c r="F1" s="5"/>
      <c r="G1" s="5"/>
    </row>
    <row r="2" spans="1:11" s="3" customFormat="1" ht="12.75">
      <c r="A2" s="4" t="s">
        <v>3</v>
      </c>
      <c r="B2" s="5"/>
      <c r="C2" s="5"/>
      <c r="D2" s="5"/>
      <c r="E2" s="5"/>
      <c r="F2" s="5"/>
      <c r="G2" s="5"/>
    </row>
    <row r="3" spans="1:11" ht="12.75">
      <c r="A3" s="6" t="s">
        <v>4</v>
      </c>
      <c r="B3" s="6" t="s">
        <v>5</v>
      </c>
      <c r="C3" s="6" t="s">
        <v>6</v>
      </c>
      <c r="D3" s="6" t="s">
        <v>7</v>
      </c>
      <c r="E3" s="6" t="s">
        <v>8</v>
      </c>
      <c r="F3" s="6" t="s">
        <v>9</v>
      </c>
      <c r="G3" s="6" t="s">
        <v>10</v>
      </c>
      <c r="H3" s="11" t="s">
        <v>11</v>
      </c>
      <c r="I3" s="10" t="s">
        <v>328</v>
      </c>
      <c r="J3" s="10" t="s">
        <v>329</v>
      </c>
    </row>
    <row r="4" spans="1:11" s="3" customFormat="1" ht="12.75">
      <c r="A4" s="7" t="s">
        <v>12</v>
      </c>
      <c r="B4" s="7"/>
      <c r="C4" s="8"/>
      <c r="D4" s="8"/>
      <c r="E4" s="8"/>
      <c r="F4" s="8"/>
      <c r="G4" s="8"/>
      <c r="H4" s="8"/>
    </row>
    <row r="5" spans="1:11" s="3" customFormat="1" ht="12.75">
      <c r="A5" s="7" t="s">
        <v>13</v>
      </c>
      <c r="B5" s="7" t="s">
        <v>14</v>
      </c>
      <c r="C5" s="8">
        <v>4724950479809.2002</v>
      </c>
      <c r="D5" s="8">
        <v>3649.3</v>
      </c>
      <c r="E5" s="8">
        <v>33.369606018066406</v>
      </c>
      <c r="F5" s="8">
        <v>-10.633035386310731</v>
      </c>
      <c r="G5" s="8">
        <v>2542086500000</v>
      </c>
      <c r="H5" s="8">
        <v>109.36000061035156</v>
      </c>
      <c r="I5" s="3">
        <f>C5/G5</f>
        <v>1.8586898910832499</v>
      </c>
      <c r="J5" s="3">
        <f>1/E5</f>
        <v>2.996739006923237E-2</v>
      </c>
      <c r="K5" s="3" t="e">
        <f ca="1">IFS(ISNUMBER(SEARCH("Dock", B5)), "Defense", ISNUMBER(SEARCH("Infratech", B5)), "Construction", TRUE, "General Industrial")</f>
        <v>#NAME?</v>
      </c>
    </row>
    <row r="6" spans="1:11" s="3" customFormat="1" ht="12.75">
      <c r="A6" s="7" t="s">
        <v>15</v>
      </c>
      <c r="B6" s="7" t="s">
        <v>16</v>
      </c>
      <c r="C6" s="8">
        <v>3145825752409.2002</v>
      </c>
      <c r="D6" s="8">
        <v>1375.9</v>
      </c>
      <c r="E6" s="8">
        <v>26.794548034667969</v>
      </c>
      <c r="F6" s="8">
        <v>-6.3886243026262113</v>
      </c>
      <c r="G6" s="8">
        <v>304753300000</v>
      </c>
      <c r="H6" s="8">
        <v>51.349998474121094</v>
      </c>
      <c r="I6" s="3">
        <f t="shared" ref="I6:I65" si="0">C6/G6</f>
        <v>10.322532200337783</v>
      </c>
      <c r="J6" s="3">
        <f t="shared" ref="J6:J65" si="1">1/E6</f>
        <v>3.7321025109516903E-2</v>
      </c>
    </row>
    <row r="7" spans="1:11" s="3" customFormat="1" ht="12.75">
      <c r="A7" s="7" t="s">
        <v>17</v>
      </c>
      <c r="B7" s="7" t="s">
        <v>18</v>
      </c>
      <c r="C7" s="8">
        <v>3114696759036.8999</v>
      </c>
      <c r="D7" s="8">
        <v>413.45</v>
      </c>
      <c r="E7" s="8">
        <v>56.792583465576172</v>
      </c>
      <c r="F7" s="8">
        <v>3.8966600285844644</v>
      </c>
      <c r="G7" s="8">
        <v>230241000000</v>
      </c>
      <c r="H7" s="8">
        <v>7.2800002098083496</v>
      </c>
      <c r="I7" s="3">
        <f t="shared" si="0"/>
        <v>13.527984846473478</v>
      </c>
      <c r="J7" s="3">
        <f t="shared" si="1"/>
        <v>1.7607932919729431E-2</v>
      </c>
    </row>
    <row r="8" spans="1:11" s="3" customFormat="1" ht="12.75">
      <c r="A8" s="7" t="s">
        <v>19</v>
      </c>
      <c r="B8" s="7" t="s">
        <v>20</v>
      </c>
      <c r="C8" s="8">
        <v>2529574560000</v>
      </c>
      <c r="D8" s="8">
        <v>3669.4</v>
      </c>
      <c r="E8" s="8">
        <v>27.539276123046875</v>
      </c>
      <c r="F8" s="8">
        <v>-15.701443047429986</v>
      </c>
      <c r="G8" s="8">
        <v>328462700000</v>
      </c>
      <c r="H8" s="8">
        <v>133.24242210388184</v>
      </c>
      <c r="I8" s="3">
        <f t="shared" si="0"/>
        <v>7.701253627885297</v>
      </c>
      <c r="J8" s="3">
        <f t="shared" si="1"/>
        <v>3.6311775063801587E-2</v>
      </c>
    </row>
    <row r="9" spans="1:11" s="3" customFormat="1" ht="12.75">
      <c r="A9" s="7" t="s">
        <v>21</v>
      </c>
      <c r="B9" s="7" t="s">
        <v>22</v>
      </c>
      <c r="C9" s="8">
        <v>1604095990001.8003</v>
      </c>
      <c r="D9" s="8">
        <v>4294.7</v>
      </c>
      <c r="E9" s="8">
        <v>22.852659225463867</v>
      </c>
      <c r="F9" s="8">
        <v>-15.116118193497375</v>
      </c>
      <c r="G9" s="8">
        <v>808029000000</v>
      </c>
      <c r="H9" s="8">
        <v>187.92999267578125</v>
      </c>
      <c r="I9" s="3">
        <f t="shared" si="0"/>
        <v>1.9851960635098496</v>
      </c>
      <c r="J9" s="3">
        <f t="shared" si="1"/>
        <v>4.3758583635016848E-2</v>
      </c>
    </row>
    <row r="10" spans="1:11" s="3" customFormat="1" ht="12.75">
      <c r="A10" s="7" t="s">
        <v>23</v>
      </c>
      <c r="B10" s="7" t="s">
        <v>24</v>
      </c>
      <c r="C10" s="8">
        <v>1334387037375</v>
      </c>
      <c r="D10" s="8">
        <v>6212.5</v>
      </c>
      <c r="E10" s="8">
        <v>78.858848571777344</v>
      </c>
      <c r="F10" s="8">
        <v>20.164410058027006</v>
      </c>
      <c r="G10" s="8">
        <v>130653200000</v>
      </c>
      <c r="H10" s="8">
        <v>78.730003356933594</v>
      </c>
      <c r="I10" s="3">
        <f t="shared" si="0"/>
        <v>10.213198278917011</v>
      </c>
      <c r="J10" s="3">
        <f t="shared" si="1"/>
        <v>1.2680885127175041E-2</v>
      </c>
    </row>
    <row r="11" spans="1:11" s="3" customFormat="1" ht="12.75">
      <c r="A11" s="7" t="s">
        <v>25</v>
      </c>
      <c r="B11" s="7" t="s">
        <v>26</v>
      </c>
      <c r="C11" s="8">
        <v>1279361160000</v>
      </c>
      <c r="D11" s="8">
        <v>4738.6000000000004</v>
      </c>
      <c r="E11" s="8">
        <v>65.67706298828125</v>
      </c>
      <c r="F11" s="8">
        <v>7.3498276070916413</v>
      </c>
      <c r="G11" s="8">
        <v>103906900000</v>
      </c>
      <c r="H11" s="8">
        <v>72.150001525878906</v>
      </c>
      <c r="I11" s="3">
        <f t="shared" si="0"/>
        <v>12.312571734889598</v>
      </c>
      <c r="J11" s="3">
        <f t="shared" si="1"/>
        <v>1.5226015818923418E-2</v>
      </c>
    </row>
    <row r="12" spans="1:11" s="3" customFormat="1" ht="12.75">
      <c r="A12" s="7" t="s">
        <v>27</v>
      </c>
      <c r="B12" s="7" t="s">
        <v>28</v>
      </c>
      <c r="C12" s="8">
        <v>1237456865045.5322</v>
      </c>
      <c r="D12" s="8">
        <v>95.24</v>
      </c>
      <c r="E12" s="8">
        <v>17.735567092895508</v>
      </c>
      <c r="F12" s="8">
        <v>-22.750098571261567</v>
      </c>
      <c r="G12" s="8">
        <v>267297500000</v>
      </c>
      <c r="H12" s="8">
        <v>5.3700000047683716</v>
      </c>
      <c r="I12" s="3">
        <f t="shared" si="0"/>
        <v>4.6295115556469186</v>
      </c>
      <c r="J12" s="3">
        <f t="shared" si="1"/>
        <v>5.6383875111643812E-2</v>
      </c>
    </row>
    <row r="13" spans="1:11" s="3" customFormat="1" ht="12.75">
      <c r="A13" s="7" t="s">
        <v>29</v>
      </c>
      <c r="B13" s="7" t="s">
        <v>30</v>
      </c>
      <c r="C13" s="8">
        <v>1146413593850.2148</v>
      </c>
      <c r="D13" s="8">
        <v>427.85</v>
      </c>
      <c r="E13" s="8">
        <v>15.822854995727539</v>
      </c>
      <c r="F13" s="8">
        <v>2.1731343283582394</v>
      </c>
      <c r="G13" s="8">
        <v>321192000000</v>
      </c>
      <c r="H13" s="8">
        <v>27.039999961853027</v>
      </c>
      <c r="I13" s="3">
        <f t="shared" si="0"/>
        <v>3.5692470355744068</v>
      </c>
      <c r="J13" s="3">
        <f t="shared" si="1"/>
        <v>6.3199719663108736E-2</v>
      </c>
    </row>
    <row r="14" spans="1:11" s="3" customFormat="1" ht="12.75">
      <c r="A14" s="7" t="s">
        <v>31</v>
      </c>
      <c r="B14" s="7" t="s">
        <v>32</v>
      </c>
      <c r="C14" s="8">
        <v>1115423384075.0002</v>
      </c>
      <c r="D14" s="8">
        <v>25670</v>
      </c>
      <c r="E14" s="8">
        <v>284.08587646484375</v>
      </c>
      <c r="F14" s="8">
        <v>40.196613872200992</v>
      </c>
      <c r="G14" s="8">
        <v>63849300000</v>
      </c>
      <c r="H14" s="8">
        <v>90.360000610351563</v>
      </c>
      <c r="I14" s="3">
        <f t="shared" si="0"/>
        <v>17.469625885875026</v>
      </c>
      <c r="J14" s="3">
        <f t="shared" si="1"/>
        <v>3.5200623573546507E-3</v>
      </c>
    </row>
    <row r="15" spans="1:11" s="3" customFormat="1" ht="12.75">
      <c r="A15" s="7" t="s">
        <v>33</v>
      </c>
      <c r="B15" s="7" t="s">
        <v>34</v>
      </c>
      <c r="C15" s="8">
        <v>1114514732448</v>
      </c>
      <c r="D15" s="8">
        <v>3101.3</v>
      </c>
      <c r="E15" s="8">
        <v>65.400680541992188</v>
      </c>
      <c r="F15" s="8">
        <v>1.2404922795679063</v>
      </c>
      <c r="G15" s="8">
        <v>173642000000</v>
      </c>
      <c r="H15" s="8">
        <v>59.139999389648438</v>
      </c>
      <c r="I15" s="3">
        <f t="shared" si="0"/>
        <v>6.4184628859838053</v>
      </c>
      <c r="J15" s="3">
        <f t="shared" si="1"/>
        <v>1.5290360768615004E-2</v>
      </c>
    </row>
    <row r="16" spans="1:11" s="3" customFormat="1" ht="12.75">
      <c r="A16" s="7" t="s">
        <v>35</v>
      </c>
      <c r="B16" s="7" t="s">
        <v>36</v>
      </c>
      <c r="C16" s="8">
        <v>1079597692868.0001</v>
      </c>
      <c r="D16" s="8">
        <v>7145</v>
      </c>
      <c r="E16" s="8">
        <v>40.934474945068359</v>
      </c>
      <c r="F16" s="8">
        <v>-6.2212888830554647</v>
      </c>
      <c r="G16" s="8">
        <v>269569700000</v>
      </c>
      <c r="H16" s="8">
        <v>174.5472526550293</v>
      </c>
      <c r="I16" s="3">
        <f t="shared" si="0"/>
        <v>4.0048925857320024</v>
      </c>
      <c r="J16" s="3">
        <f t="shared" si="1"/>
        <v>2.4429286105219151E-2</v>
      </c>
    </row>
    <row r="17" spans="1:16" s="3" customFormat="1" ht="12.75">
      <c r="A17" s="7" t="s">
        <v>37</v>
      </c>
      <c r="B17" s="7" t="s">
        <v>38</v>
      </c>
      <c r="C17" s="8">
        <v>1073463842294.4001</v>
      </c>
      <c r="D17" s="8">
        <v>692.25</v>
      </c>
      <c r="E17" s="8">
        <v>108.50313568115234</v>
      </c>
      <c r="F17" s="8">
        <v>7.0830121229977783</v>
      </c>
      <c r="G17" s="8">
        <v>98147200000</v>
      </c>
      <c r="H17" s="8">
        <v>6.380000114440918</v>
      </c>
      <c r="I17" s="3">
        <f t="shared" si="0"/>
        <v>10.937284428841577</v>
      </c>
      <c r="J17" s="3">
        <f t="shared" si="1"/>
        <v>9.2163235073556143E-3</v>
      </c>
    </row>
    <row r="18" spans="1:16" s="3" customFormat="1" ht="12.75">
      <c r="A18" s="7" t="s">
        <v>39</v>
      </c>
      <c r="B18" s="7" t="s">
        <v>40</v>
      </c>
      <c r="C18" s="8">
        <v>994003553555.99988</v>
      </c>
      <c r="D18" s="8">
        <v>2771.4</v>
      </c>
      <c r="E18" s="8">
        <v>89.718353271484375</v>
      </c>
      <c r="F18" s="8">
        <v>8.4276809557423338</v>
      </c>
      <c r="G18" s="8">
        <v>78267000000</v>
      </c>
      <c r="H18" s="8">
        <v>30.889999389648438</v>
      </c>
      <c r="I18" s="3">
        <f t="shared" si="0"/>
        <v>12.700161671662386</v>
      </c>
      <c r="J18" s="3">
        <f t="shared" si="1"/>
        <v>1.114599146703058E-2</v>
      </c>
    </row>
    <row r="19" spans="1:16" s="3" customFormat="1" ht="12.75">
      <c r="A19" s="7" t="s">
        <v>41</v>
      </c>
      <c r="B19" s="7" t="s">
        <v>42</v>
      </c>
      <c r="C19" s="8">
        <v>992035295287.27991</v>
      </c>
      <c r="D19" s="8">
        <v>170.95</v>
      </c>
      <c r="E19" s="8">
        <v>32.315689086914063</v>
      </c>
      <c r="F19" s="8">
        <v>-4.5984708968135006</v>
      </c>
      <c r="G19" s="8">
        <v>483417600000</v>
      </c>
      <c r="H19" s="8">
        <v>5.2899999618530273</v>
      </c>
      <c r="I19" s="3">
        <f>C19/G19</f>
        <v>2.0521290397521312</v>
      </c>
      <c r="J19" s="3">
        <f t="shared" si="1"/>
        <v>3.0944721534808328E-2</v>
      </c>
    </row>
    <row r="20" spans="1:16" s="3" customFormat="1" ht="12.75">
      <c r="A20" s="7" t="s">
        <v>43</v>
      </c>
      <c r="B20" s="7" t="s">
        <v>44</v>
      </c>
      <c r="C20" s="8">
        <v>941969597611.50012</v>
      </c>
      <c r="D20" s="8">
        <v>3763.4</v>
      </c>
      <c r="E20" s="8">
        <v>158.39225769042969</v>
      </c>
      <c r="F20" s="8">
        <v>20.140462889066278</v>
      </c>
      <c r="G20" s="8">
        <v>42900000000</v>
      </c>
      <c r="H20" s="8">
        <v>23.760000228881836</v>
      </c>
      <c r="I20" s="3">
        <f t="shared" si="0"/>
        <v>21.957333277657344</v>
      </c>
      <c r="J20" s="3">
        <f t="shared" si="1"/>
        <v>6.3134399028168002E-3</v>
      </c>
      <c r="P20" s="12"/>
    </row>
    <row r="21" spans="1:16" s="3" customFormat="1" ht="12.75">
      <c r="A21" s="7" t="s">
        <v>45</v>
      </c>
      <c r="B21" s="7" t="s">
        <v>46</v>
      </c>
      <c r="C21" s="8">
        <v>937495497392.57813</v>
      </c>
      <c r="D21" s="8">
        <v>2255.9</v>
      </c>
      <c r="E21" s="8">
        <v>37.705162048339844</v>
      </c>
      <c r="F21" s="8">
        <v>-9.119786837827748</v>
      </c>
      <c r="G21" s="8">
        <v>114318800000</v>
      </c>
      <c r="H21" s="8">
        <v>59.830001831054688</v>
      </c>
      <c r="I21" s="3">
        <f t="shared" si="0"/>
        <v>8.2007114962069068</v>
      </c>
      <c r="J21" s="3">
        <f t="shared" si="1"/>
        <v>2.6521567490359849E-2</v>
      </c>
    </row>
    <row r="22" spans="1:16" s="3" customFormat="1" ht="12.75">
      <c r="A22" s="7" t="s">
        <v>47</v>
      </c>
      <c r="B22" s="7" t="s">
        <v>48</v>
      </c>
      <c r="C22" s="8">
        <v>912474702177.75</v>
      </c>
      <c r="D22" s="8">
        <v>262.05</v>
      </c>
      <c r="E22" s="8">
        <v>171.27450561523438</v>
      </c>
      <c r="F22" s="8">
        <v>-8.8363193598888117</v>
      </c>
      <c r="G22" s="8">
        <v>273551700000</v>
      </c>
      <c r="H22" s="8">
        <v>1.5299999713897705</v>
      </c>
      <c r="I22" s="3">
        <f t="shared" si="0"/>
        <v>3.335657216452137</v>
      </c>
      <c r="J22" s="3">
        <f t="shared" si="1"/>
        <v>5.8385805663715359E-3</v>
      </c>
    </row>
    <row r="23" spans="1:16" s="3" customFormat="1" ht="12.75">
      <c r="A23" s="7" t="s">
        <v>49</v>
      </c>
      <c r="B23" s="7" t="s">
        <v>50</v>
      </c>
      <c r="C23" s="8">
        <v>818248693668</v>
      </c>
      <c r="D23" s="8">
        <v>1736.5</v>
      </c>
      <c r="E23" s="8">
        <v>86.608482360839844</v>
      </c>
      <c r="F23" s="8">
        <v>18.230454035544639</v>
      </c>
      <c r="G23" s="8">
        <v>151228030000</v>
      </c>
      <c r="H23" s="8">
        <v>20.049999237060547</v>
      </c>
      <c r="I23" s="3">
        <f t="shared" si="0"/>
        <v>5.4106946554021764</v>
      </c>
      <c r="J23" s="3">
        <f t="shared" si="1"/>
        <v>1.1546213173828243E-2</v>
      </c>
    </row>
    <row r="24" spans="1:16" s="3" customFormat="1" ht="12.75">
      <c r="A24" s="7" t="s">
        <v>51</v>
      </c>
      <c r="B24" s="7" t="s">
        <v>52</v>
      </c>
      <c r="C24" s="8">
        <v>803641465970.40002</v>
      </c>
      <c r="D24" s="8">
        <v>1268.4000000000001</v>
      </c>
      <c r="E24" s="8">
        <v>53.997447967529297</v>
      </c>
      <c r="F24" s="8">
        <v>-10.706562485634684</v>
      </c>
      <c r="G24" s="8">
        <v>217780600000</v>
      </c>
      <c r="H24" s="8">
        <v>23.489999771118164</v>
      </c>
      <c r="I24" s="3">
        <f t="shared" si="0"/>
        <v>3.6901425837305988</v>
      </c>
      <c r="J24" s="3">
        <f t="shared" si="1"/>
        <v>1.8519393742484604E-2</v>
      </c>
    </row>
    <row r="25" spans="1:16" s="3" customFormat="1" ht="12.75">
      <c r="A25" s="7" t="s">
        <v>53</v>
      </c>
      <c r="B25" s="7" t="s">
        <v>54</v>
      </c>
      <c r="C25" s="8">
        <v>654365314455.00012</v>
      </c>
      <c r="D25" s="8">
        <v>4063.1</v>
      </c>
      <c r="E25" s="8">
        <v>55.205165863037109</v>
      </c>
      <c r="F25" s="8">
        <v>4.7460685743748288</v>
      </c>
      <c r="G25" s="8">
        <v>96858500000</v>
      </c>
      <c r="H25" s="8">
        <v>73.599998474121094</v>
      </c>
      <c r="I25" s="3">
        <f t="shared" si="0"/>
        <v>6.7558894103769944</v>
      </c>
      <c r="J25" s="3">
        <f t="shared" si="1"/>
        <v>1.811424681670153E-2</v>
      </c>
    </row>
    <row r="26" spans="1:16" s="3" customFormat="1" ht="12.75">
      <c r="A26" s="13" t="s">
        <v>55</v>
      </c>
      <c r="B26" s="13" t="s">
        <v>56</v>
      </c>
      <c r="C26" s="14">
        <v>551592067455.00012</v>
      </c>
      <c r="D26" s="14">
        <v>268.85000000000002</v>
      </c>
      <c r="E26" s="14">
        <v>43.715446472167969</v>
      </c>
      <c r="F26" s="14">
        <v>-24.506840334568402</v>
      </c>
      <c r="G26" s="14">
        <v>199230200000</v>
      </c>
      <c r="H26" s="14">
        <v>6.1500000953674316</v>
      </c>
      <c r="I26" s="15">
        <f>C26/G26</f>
        <v>2.7686167431192668</v>
      </c>
      <c r="J26" s="15">
        <f t="shared" si="1"/>
        <v>2.2875209581507159E-2</v>
      </c>
    </row>
    <row r="27" spans="1:16" s="3" customFormat="1" ht="12.75">
      <c r="A27" s="7" t="s">
        <v>57</v>
      </c>
      <c r="B27" s="7" t="s">
        <v>58</v>
      </c>
      <c r="C27" s="8">
        <v>547803642900.59998</v>
      </c>
      <c r="D27" s="8">
        <v>1998.6</v>
      </c>
      <c r="E27" s="8">
        <v>73.262458801269531</v>
      </c>
      <c r="F27" s="8">
        <v>4.4200626959247424</v>
      </c>
      <c r="G27" s="8">
        <v>199962900000</v>
      </c>
      <c r="H27" s="8">
        <v>27.280000686645508</v>
      </c>
      <c r="I27" s="3">
        <f t="shared" si="0"/>
        <v>2.7395263966495782</v>
      </c>
      <c r="J27" s="3">
        <f t="shared" si="1"/>
        <v>1.3649555534473428E-2</v>
      </c>
    </row>
    <row r="28" spans="1:16" s="3" customFormat="1" ht="12.75">
      <c r="A28" s="7" t="s">
        <v>59</v>
      </c>
      <c r="B28" s="7" t="s">
        <v>60</v>
      </c>
      <c r="C28" s="8">
        <v>527415393552.04999</v>
      </c>
      <c r="D28" s="8">
        <v>258.2</v>
      </c>
      <c r="E28" s="8">
        <v>36.073928833007813</v>
      </c>
      <c r="F28" s="8">
        <v>-9.3398876404494739</v>
      </c>
      <c r="G28" s="8">
        <v>44761400000</v>
      </c>
      <c r="H28" s="8">
        <v>7.1575241088867188</v>
      </c>
      <c r="I28" s="3">
        <f t="shared" si="0"/>
        <v>11.782817194101391</v>
      </c>
      <c r="J28" s="3">
        <f>1/E28</f>
        <v>2.7720850829117214E-2</v>
      </c>
    </row>
    <row r="29" spans="1:16" s="3" customFormat="1" ht="12.75">
      <c r="A29" s="7" t="s">
        <v>61</v>
      </c>
      <c r="B29" s="7" t="s">
        <v>62</v>
      </c>
      <c r="C29" s="8">
        <v>458166468750.00006</v>
      </c>
      <c r="D29" s="8">
        <v>1182.2</v>
      </c>
      <c r="E29" s="8">
        <v>78.86590576171875</v>
      </c>
      <c r="F29" s="8">
        <v>-19.107931652203071</v>
      </c>
      <c r="G29" s="8">
        <v>33230729000</v>
      </c>
      <c r="H29" s="8">
        <v>14.989999771118164</v>
      </c>
      <c r="I29" s="3">
        <f t="shared" si="0"/>
        <v>13.787433575411484</v>
      </c>
      <c r="J29" s="3">
        <f t="shared" si="1"/>
        <v>1.2679750398370455E-2</v>
      </c>
    </row>
    <row r="30" spans="1:16" s="3" customFormat="1" ht="12.75">
      <c r="A30" s="7" t="s">
        <v>63</v>
      </c>
      <c r="B30" s="7" t="s">
        <v>64</v>
      </c>
      <c r="C30" s="8">
        <v>438256838130.00006</v>
      </c>
      <c r="D30" s="8">
        <v>1368.8</v>
      </c>
      <c r="E30" s="8">
        <v>53.826190948486328</v>
      </c>
      <c r="F30" s="8">
        <v>0.55833088451369139</v>
      </c>
      <c r="G30" s="8">
        <v>153204500000</v>
      </c>
      <c r="H30" s="8">
        <v>25.430000305175781</v>
      </c>
      <c r="I30" s="3">
        <f t="shared" si="0"/>
        <v>2.8606002965317603</v>
      </c>
      <c r="J30" s="3">
        <f t="shared" si="1"/>
        <v>1.8578316287642151E-2</v>
      </c>
    </row>
    <row r="31" spans="1:16" s="3" customFormat="1" ht="12.75">
      <c r="A31" s="7" t="s">
        <v>65</v>
      </c>
      <c r="B31" s="7" t="s">
        <v>66</v>
      </c>
      <c r="C31" s="8">
        <v>418280000000</v>
      </c>
      <c r="D31" s="8">
        <v>523.75</v>
      </c>
      <c r="E31" s="8">
        <v>31.858270645141602</v>
      </c>
      <c r="F31" s="8">
        <v>-23.08052395670369</v>
      </c>
      <c r="G31" s="8">
        <v>46742742000</v>
      </c>
      <c r="H31" s="8">
        <v>16.440000534057617</v>
      </c>
      <c r="I31" s="3">
        <f t="shared" si="0"/>
        <v>8.9485550505359743</v>
      </c>
      <c r="J31" s="3">
        <f t="shared" si="1"/>
        <v>3.1389023313244419E-2</v>
      </c>
    </row>
    <row r="32" spans="1:16" s="3" customFormat="1" ht="12.75">
      <c r="A32" s="7" t="s">
        <v>67</v>
      </c>
      <c r="B32" s="7" t="s">
        <v>68</v>
      </c>
      <c r="C32" s="8">
        <v>400375291860</v>
      </c>
      <c r="D32" s="8">
        <v>4196</v>
      </c>
      <c r="E32" s="8">
        <v>55.463813781738281</v>
      </c>
      <c r="F32" s="8">
        <v>-5.8143665321424116</v>
      </c>
      <c r="G32" s="8">
        <v>97358770000</v>
      </c>
      <c r="H32" s="8">
        <v>75.652931213378906</v>
      </c>
      <c r="I32" s="3">
        <f t="shared" si="0"/>
        <v>4.1123700706161346</v>
      </c>
      <c r="J32" s="3">
        <f t="shared" si="1"/>
        <v>1.8029773501245502E-2</v>
      </c>
    </row>
    <row r="33" spans="1:10" s="3" customFormat="1" ht="12.75">
      <c r="A33" s="7" t="s">
        <v>69</v>
      </c>
      <c r="B33" s="7" t="s">
        <v>70</v>
      </c>
      <c r="C33" s="8">
        <v>388548110995</v>
      </c>
      <c r="D33" s="8">
        <v>10014</v>
      </c>
      <c r="E33" s="8">
        <v>48.975399017333984</v>
      </c>
      <c r="F33" s="8">
        <v>19.677322975799182</v>
      </c>
      <c r="G33" s="8">
        <v>185812100000</v>
      </c>
      <c r="H33" s="8">
        <v>204.47000122070313</v>
      </c>
      <c r="I33" s="3">
        <f t="shared" si="0"/>
        <v>2.0910807799653521</v>
      </c>
      <c r="J33" s="3">
        <f t="shared" si="1"/>
        <v>2.0418414552295275E-2</v>
      </c>
    </row>
    <row r="34" spans="1:10" s="3" customFormat="1" ht="12.75">
      <c r="A34" s="7" t="s">
        <v>71</v>
      </c>
      <c r="B34" s="7" t="s">
        <v>72</v>
      </c>
      <c r="C34" s="8">
        <v>384565042620</v>
      </c>
      <c r="D34" s="8">
        <v>3249.2</v>
      </c>
      <c r="E34" s="8">
        <v>57.6815185546875</v>
      </c>
      <c r="F34" s="8">
        <v>7.4968570105208299</v>
      </c>
      <c r="G34" s="8">
        <v>102644100000</v>
      </c>
      <c r="H34" s="8">
        <v>56.330001831054688</v>
      </c>
      <c r="I34" s="3">
        <f t="shared" si="0"/>
        <v>3.7465869214109726</v>
      </c>
      <c r="J34" s="3">
        <f t="shared" si="1"/>
        <v>1.7336575476110359E-2</v>
      </c>
    </row>
    <row r="35" spans="1:10" s="3" customFormat="1" ht="12.75">
      <c r="A35" s="7" t="s">
        <v>73</v>
      </c>
      <c r="B35" s="7" t="s">
        <v>74</v>
      </c>
      <c r="C35" s="8">
        <v>352922866370</v>
      </c>
      <c r="D35" s="8">
        <v>1317.4</v>
      </c>
      <c r="E35" s="8">
        <v>41.888713836669922</v>
      </c>
      <c r="F35" s="8">
        <v>-18.495363710326362</v>
      </c>
      <c r="G35" s="8">
        <v>48199588000</v>
      </c>
      <c r="H35" s="8">
        <v>31.450000762939453</v>
      </c>
      <c r="I35" s="3">
        <f t="shared" si="0"/>
        <v>7.3221137568644776</v>
      </c>
      <c r="J35" s="3">
        <f t="shared" si="1"/>
        <v>2.3872778808610426E-2</v>
      </c>
    </row>
    <row r="36" spans="1:10" s="3" customFormat="1" ht="12.75">
      <c r="A36" s="7" t="s">
        <v>75</v>
      </c>
      <c r="B36" s="7" t="s">
        <v>76</v>
      </c>
      <c r="C36" s="8">
        <v>351313426776.79999</v>
      </c>
      <c r="D36" s="8">
        <v>1744.6</v>
      </c>
      <c r="E36" s="8">
        <v>60.671730041503906</v>
      </c>
      <c r="F36" s="8">
        <v>0.80314323684060884</v>
      </c>
      <c r="G36" s="8">
        <v>119676500000</v>
      </c>
      <c r="H36" s="8">
        <v>28.754741668701172</v>
      </c>
      <c r="I36" s="3">
        <f t="shared" si="0"/>
        <v>2.9355255775093689</v>
      </c>
      <c r="J36" s="3">
        <f t="shared" si="1"/>
        <v>1.6482140847408285E-2</v>
      </c>
    </row>
    <row r="37" spans="1:10" s="3" customFormat="1" ht="12.75">
      <c r="A37" s="7" t="s">
        <v>77</v>
      </c>
      <c r="B37" s="7" t="s">
        <v>78</v>
      </c>
      <c r="C37" s="8">
        <v>342278800587.59998</v>
      </c>
      <c r="D37" s="8">
        <v>2967.4</v>
      </c>
      <c r="E37" s="8">
        <v>29.026702880859375</v>
      </c>
      <c r="F37" s="8">
        <v>-19.819079119409178</v>
      </c>
      <c r="G37" s="8">
        <v>100790500000</v>
      </c>
      <c r="H37" s="8">
        <v>115.04000091552734</v>
      </c>
      <c r="I37" s="3">
        <f t="shared" si="0"/>
        <v>3.3959430758613163</v>
      </c>
      <c r="J37" s="3">
        <f t="shared" si="1"/>
        <v>3.4451036485422339E-2</v>
      </c>
    </row>
    <row r="38" spans="1:10" s="3" customFormat="1" ht="12.75">
      <c r="A38" s="7" t="s">
        <v>79</v>
      </c>
      <c r="B38" s="7" t="s">
        <v>80</v>
      </c>
      <c r="C38" s="8">
        <v>340671702325.5</v>
      </c>
      <c r="D38" s="8">
        <v>445.15</v>
      </c>
      <c r="E38" s="8">
        <v>26.307212829589844</v>
      </c>
      <c r="F38" s="8">
        <v>-14.640086624479032</v>
      </c>
      <c r="G38" s="8">
        <v>82178800000</v>
      </c>
      <c r="H38" s="8">
        <v>16.921214294433593</v>
      </c>
      <c r="I38" s="3">
        <f t="shared" si="0"/>
        <v>4.1454937566075438</v>
      </c>
      <c r="J38" s="3">
        <f t="shared" si="1"/>
        <v>3.8012388711707965E-2</v>
      </c>
    </row>
    <row r="39" spans="1:10" s="3" customFormat="1" ht="12.75">
      <c r="A39" s="7" t="s">
        <v>81</v>
      </c>
      <c r="B39" s="7" t="s">
        <v>82</v>
      </c>
      <c r="C39" s="8">
        <v>318185133552</v>
      </c>
      <c r="D39" s="8">
        <v>3486.4</v>
      </c>
      <c r="E39" s="8">
        <v>30.8145751953125</v>
      </c>
      <c r="F39" s="8">
        <v>-13.219663970130801</v>
      </c>
      <c r="G39" s="8">
        <v>42874439000</v>
      </c>
      <c r="H39" s="8">
        <v>113.14125823974609</v>
      </c>
      <c r="I39" s="3">
        <f t="shared" si="0"/>
        <v>7.4213247093915324</v>
      </c>
      <c r="J39" s="3">
        <f t="shared" si="1"/>
        <v>3.2452175428727623E-2</v>
      </c>
    </row>
    <row r="40" spans="1:10" s="3" customFormat="1" ht="12.75">
      <c r="A40" s="7" t="s">
        <v>83</v>
      </c>
      <c r="B40" s="7" t="s">
        <v>84</v>
      </c>
      <c r="C40" s="8">
        <v>316548938467.80005</v>
      </c>
      <c r="D40" s="8">
        <v>430.35</v>
      </c>
      <c r="E40" s="8">
        <v>210.95588684082031</v>
      </c>
      <c r="F40" s="8">
        <v>6.5618422681688493</v>
      </c>
      <c r="G40" s="8">
        <v>98498740000</v>
      </c>
      <c r="H40" s="8">
        <v>2.0400000214576721</v>
      </c>
      <c r="I40" s="3">
        <f t="shared" si="0"/>
        <v>3.2137359164980186</v>
      </c>
      <c r="J40" s="3">
        <f t="shared" si="1"/>
        <v>4.740327539446974E-3</v>
      </c>
    </row>
    <row r="41" spans="1:10" s="3" customFormat="1" ht="12.75">
      <c r="A41" s="7" t="s">
        <v>85</v>
      </c>
      <c r="B41" s="7" t="s">
        <v>86</v>
      </c>
      <c r="C41" s="8">
        <v>261270201600.00003</v>
      </c>
      <c r="D41" s="8">
        <v>2177</v>
      </c>
      <c r="E41" s="8">
        <v>47.284969329833984</v>
      </c>
      <c r="F41" s="8">
        <v>-10.67822563339088</v>
      </c>
      <c r="G41" s="8">
        <v>50756877000</v>
      </c>
      <c r="H41" s="8">
        <v>46.040000915527344</v>
      </c>
      <c r="I41" s="3">
        <f t="shared" si="0"/>
        <v>5.1474837902261017</v>
      </c>
      <c r="J41" s="3">
        <f t="shared" si="1"/>
        <v>2.114836943267424E-2</v>
      </c>
    </row>
    <row r="42" spans="1:10" s="3" customFormat="1" ht="12.75">
      <c r="A42" s="7" t="s">
        <v>87</v>
      </c>
      <c r="B42" s="7" t="s">
        <v>88</v>
      </c>
      <c r="C42" s="8">
        <v>250480346590</v>
      </c>
      <c r="D42" s="8">
        <v>28205</v>
      </c>
      <c r="E42" s="8">
        <v>47.625885009765625</v>
      </c>
      <c r="F42" s="8">
        <v>-14.022252705380234</v>
      </c>
      <c r="G42" s="8">
        <v>41817000000</v>
      </c>
      <c r="H42" s="8">
        <v>592.219970703125</v>
      </c>
      <c r="I42" s="3">
        <f t="shared" si="0"/>
        <v>5.9899166987110508</v>
      </c>
      <c r="J42" s="3">
        <f t="shared" si="1"/>
        <v>2.0996985143582135E-2</v>
      </c>
    </row>
    <row r="43" spans="1:10" s="3" customFormat="1" ht="12.75">
      <c r="A43" s="7" t="s">
        <v>89</v>
      </c>
      <c r="B43" s="7" t="s">
        <v>90</v>
      </c>
      <c r="C43" s="8">
        <v>248384076450.3479</v>
      </c>
      <c r="D43" s="8">
        <v>41.13</v>
      </c>
      <c r="E43" s="8">
        <v>3.8331782817840576</v>
      </c>
      <c r="F43" s="8">
        <v>-2.0253929628151868</v>
      </c>
      <c r="G43" s="8">
        <v>70619990000</v>
      </c>
      <c r="H43" s="8">
        <v>10.729999542236328</v>
      </c>
      <c r="I43" s="3">
        <f t="shared" si="0"/>
        <v>3.5171921781686448</v>
      </c>
      <c r="J43" s="3">
        <f t="shared" si="1"/>
        <v>0.26088011735644467</v>
      </c>
    </row>
    <row r="44" spans="1:10" s="3" customFormat="1" ht="12.75">
      <c r="A44" s="7" t="s">
        <v>91</v>
      </c>
      <c r="B44" s="7" t="s">
        <v>92</v>
      </c>
      <c r="C44" s="8">
        <v>237939421262.20001</v>
      </c>
      <c r="D44" s="8">
        <v>3308.9</v>
      </c>
      <c r="E44" s="8">
        <v>55.630462646484375</v>
      </c>
      <c r="F44" s="8">
        <v>10.182811095201671</v>
      </c>
      <c r="G44" s="8">
        <v>31478100000</v>
      </c>
      <c r="H44" s="8">
        <v>59.479999542236328</v>
      </c>
      <c r="I44" s="3">
        <f t="shared" si="0"/>
        <v>7.5588876476725089</v>
      </c>
      <c r="J44" s="3">
        <f t="shared" si="1"/>
        <v>1.7975762782249594E-2</v>
      </c>
    </row>
    <row r="45" spans="1:10" s="3" customFormat="1" ht="12.75">
      <c r="A45" s="7" t="s">
        <v>93</v>
      </c>
      <c r="B45" s="7" t="s">
        <v>94</v>
      </c>
      <c r="C45" s="8">
        <v>234182948051.50003</v>
      </c>
      <c r="D45" s="8">
        <v>6746.5</v>
      </c>
      <c r="E45" s="8">
        <v>93.741569519042969</v>
      </c>
      <c r="F45" s="8">
        <v>5.6286206356661594</v>
      </c>
      <c r="G45" s="8">
        <v>96737519000</v>
      </c>
      <c r="H45" s="8">
        <v>71.969139099121094</v>
      </c>
      <c r="I45" s="3">
        <f t="shared" si="0"/>
        <v>2.4208078775671313</v>
      </c>
      <c r="J45" s="3">
        <f t="shared" si="1"/>
        <v>1.0667625954319623E-2</v>
      </c>
    </row>
    <row r="46" spans="1:10" s="3" customFormat="1" ht="12.75">
      <c r="A46" s="7" t="s">
        <v>95</v>
      </c>
      <c r="B46" s="7" t="s">
        <v>96</v>
      </c>
      <c r="C46" s="8">
        <v>226557000000</v>
      </c>
      <c r="D46" s="8">
        <v>84.52</v>
      </c>
      <c r="E46" s="8">
        <v>42.259998321533203</v>
      </c>
      <c r="F46" s="8">
        <v>-30.502439401025207</v>
      </c>
      <c r="G46" s="8">
        <v>116316751000</v>
      </c>
      <c r="H46" s="8">
        <v>2</v>
      </c>
      <c r="I46" s="3">
        <f t="shared" si="0"/>
        <v>1.947759011941453</v>
      </c>
      <c r="J46" s="3">
        <f t="shared" si="1"/>
        <v>2.3663039273961801E-2</v>
      </c>
    </row>
    <row r="47" spans="1:10" s="3" customFormat="1" ht="12.75">
      <c r="A47" s="7" t="s">
        <v>97</v>
      </c>
      <c r="B47" s="7" t="s">
        <v>98</v>
      </c>
      <c r="C47" s="8">
        <v>212802591150.00003</v>
      </c>
      <c r="D47" s="8">
        <v>893.5</v>
      </c>
      <c r="E47" s="8">
        <v>79.776786804199219</v>
      </c>
      <c r="F47" s="8">
        <v>23.599391340434494</v>
      </c>
      <c r="G47" s="8">
        <v>26237000000</v>
      </c>
      <c r="H47" s="8">
        <v>11.199999809265137</v>
      </c>
      <c r="I47" s="3">
        <f t="shared" si="0"/>
        <v>8.1107821454434585</v>
      </c>
      <c r="J47" s="3">
        <f t="shared" si="1"/>
        <v>1.2534974646877641E-2</v>
      </c>
    </row>
    <row r="48" spans="1:10" s="3" customFormat="1" ht="12.75">
      <c r="A48" s="7" t="s">
        <v>99</v>
      </c>
      <c r="B48" s="7" t="s">
        <v>100</v>
      </c>
      <c r="C48" s="8">
        <v>204114210081.70001</v>
      </c>
      <c r="D48" s="8">
        <v>1416.5</v>
      </c>
      <c r="E48" s="8">
        <v>8.6266746520996094</v>
      </c>
      <c r="F48" s="8">
        <v>26.376528558595336</v>
      </c>
      <c r="G48" s="8">
        <v>52860100000</v>
      </c>
      <c r="H48" s="8">
        <v>164.19999694824219</v>
      </c>
      <c r="I48" s="3">
        <f t="shared" si="0"/>
        <v>3.861404160826408</v>
      </c>
      <c r="J48" s="3">
        <f t="shared" si="1"/>
        <v>0.11591952175414594</v>
      </c>
    </row>
    <row r="49" spans="1:10" s="3" customFormat="1" ht="12.75">
      <c r="A49" s="7" t="s">
        <v>101</v>
      </c>
      <c r="B49" s="7" t="s">
        <v>102</v>
      </c>
      <c r="C49" s="8">
        <v>197820800446.06</v>
      </c>
      <c r="D49" s="8">
        <v>175.31</v>
      </c>
      <c r="E49" s="8">
        <v>130.82835388183594</v>
      </c>
      <c r="F49" s="8">
        <v>-29.693202326047718</v>
      </c>
      <c r="G49" s="8">
        <v>6210820000</v>
      </c>
      <c r="H49" s="8">
        <v>1.3400000333786011</v>
      </c>
      <c r="I49" s="3">
        <f t="shared" si="0"/>
        <v>31.850995592540116</v>
      </c>
      <c r="J49" s="3">
        <f t="shared" si="1"/>
        <v>7.6436030136341785E-3</v>
      </c>
    </row>
    <row r="50" spans="1:10" s="3" customFormat="1" ht="12.75">
      <c r="A50" s="7" t="s">
        <v>103</v>
      </c>
      <c r="B50" s="7" t="s">
        <v>104</v>
      </c>
      <c r="C50" s="8">
        <v>182897396766.00003</v>
      </c>
      <c r="D50" s="8">
        <v>1110</v>
      </c>
      <c r="E50" s="8">
        <v>32.364269256591797</v>
      </c>
      <c r="F50" s="8">
        <v>-7.6846307385229906</v>
      </c>
      <c r="G50" s="8">
        <v>223157800000</v>
      </c>
      <c r="H50" s="8">
        <v>34.297080993652344</v>
      </c>
      <c r="I50" s="3">
        <f t="shared" si="0"/>
        <v>0.81958773910658744</v>
      </c>
      <c r="J50" s="3">
        <f t="shared" si="1"/>
        <v>3.0898272167734015E-2</v>
      </c>
    </row>
    <row r="51" spans="1:10" s="3" customFormat="1" ht="12.75">
      <c r="A51" s="7" t="s">
        <v>105</v>
      </c>
      <c r="B51" s="7" t="s">
        <v>106</v>
      </c>
      <c r="C51" s="8">
        <v>180873007045.20001</v>
      </c>
      <c r="D51" s="8">
        <v>3213.3</v>
      </c>
      <c r="E51" s="8">
        <v>77.0826416015625</v>
      </c>
      <c r="F51" s="8">
        <v>22.336861341658487</v>
      </c>
      <c r="G51" s="8">
        <v>9200400000</v>
      </c>
      <c r="H51" s="8">
        <v>41.686429977416992</v>
      </c>
      <c r="I51" s="3">
        <f t="shared" si="0"/>
        <v>19.659254711229948</v>
      </c>
      <c r="J51" s="3">
        <f t="shared" si="1"/>
        <v>1.2973089391110457E-2</v>
      </c>
    </row>
    <row r="52" spans="1:10" s="3" customFormat="1" ht="12.75">
      <c r="A52" s="7" t="s">
        <v>107</v>
      </c>
      <c r="B52" s="7" t="s">
        <v>108</v>
      </c>
      <c r="C52" s="8">
        <v>170834364810</v>
      </c>
      <c r="D52" s="8">
        <v>799</v>
      </c>
      <c r="E52" s="8">
        <v>31.137958526611328</v>
      </c>
      <c r="F52" s="8">
        <v>-14.513454234205348</v>
      </c>
      <c r="G52" s="8">
        <v>57757900000</v>
      </c>
      <c r="H52" s="8">
        <v>25.659999847412109</v>
      </c>
      <c r="I52" s="3">
        <f t="shared" si="0"/>
        <v>2.9577662070470012</v>
      </c>
      <c r="J52" s="3">
        <f t="shared" si="1"/>
        <v>3.2115143295131994E-2</v>
      </c>
    </row>
    <row r="53" spans="1:10" s="3" customFormat="1" ht="12.75">
      <c r="A53" s="7" t="s">
        <v>109</v>
      </c>
      <c r="B53" s="7" t="s">
        <v>110</v>
      </c>
      <c r="C53" s="8">
        <v>168281719885.20001</v>
      </c>
      <c r="D53" s="8">
        <v>776.65</v>
      </c>
      <c r="E53" s="8">
        <v>55.874103546142578</v>
      </c>
      <c r="F53" s="8">
        <v>-21.494996462144943</v>
      </c>
      <c r="G53" s="8">
        <v>18145600000</v>
      </c>
      <c r="H53" s="8">
        <v>13.899999618530273</v>
      </c>
      <c r="I53" s="3">
        <f t="shared" si="0"/>
        <v>9.273968338616525</v>
      </c>
      <c r="J53" s="3">
        <f t="shared" si="1"/>
        <v>1.7897378866654545E-2</v>
      </c>
    </row>
    <row r="54" spans="1:10" s="3" customFormat="1" ht="12.75">
      <c r="A54" s="7" t="s">
        <v>111</v>
      </c>
      <c r="B54" s="7" t="s">
        <v>112</v>
      </c>
      <c r="C54" s="8">
        <v>157368810709.80002</v>
      </c>
      <c r="D54" s="8">
        <v>1346.7</v>
      </c>
      <c r="E54" s="8">
        <v>48.828861236572266</v>
      </c>
      <c r="F54" s="8">
        <v>-7.2967577614097774</v>
      </c>
      <c r="G54" s="8">
        <v>76182329000</v>
      </c>
      <c r="H54" s="8">
        <v>27.579999923706055</v>
      </c>
      <c r="I54" s="3">
        <f t="shared" si="0"/>
        <v>2.0656865282997585</v>
      </c>
      <c r="J54" s="3">
        <f t="shared" si="1"/>
        <v>2.0479691204656054E-2</v>
      </c>
    </row>
    <row r="55" spans="1:10" s="3" customFormat="1" ht="12.75">
      <c r="A55" s="7" t="s">
        <v>113</v>
      </c>
      <c r="B55" s="7" t="s">
        <v>114</v>
      </c>
      <c r="C55" s="8">
        <v>152132173130.80002</v>
      </c>
      <c r="D55" s="8">
        <v>487.35</v>
      </c>
      <c r="E55" s="8">
        <v>43.944995880126953</v>
      </c>
      <c r="F55" s="8">
        <v>2.8707124010554086</v>
      </c>
      <c r="G55" s="8">
        <v>35104000000</v>
      </c>
      <c r="H55" s="8">
        <v>11.090000152587891</v>
      </c>
      <c r="I55" s="3">
        <f t="shared" si="0"/>
        <v>4.333756071410666</v>
      </c>
      <c r="J55" s="3">
        <f t="shared" si="1"/>
        <v>2.275571950735409E-2</v>
      </c>
    </row>
    <row r="56" spans="1:10" s="3" customFormat="1" ht="12.75">
      <c r="A56" s="7" t="s">
        <v>115</v>
      </c>
      <c r="B56" s="7" t="s">
        <v>116</v>
      </c>
      <c r="C56" s="8">
        <v>151159817191.5</v>
      </c>
      <c r="D56" s="8">
        <v>817.75</v>
      </c>
      <c r="E56" s="8">
        <v>85.628273010253906</v>
      </c>
      <c r="F56" s="8">
        <v>11.539248448475735</v>
      </c>
      <c r="G56" s="8">
        <v>37159890000</v>
      </c>
      <c r="H56" s="8">
        <v>9.5500001907348633</v>
      </c>
      <c r="I56" s="3">
        <f t="shared" si="0"/>
        <v>4.067821976639328</v>
      </c>
      <c r="J56" s="3">
        <f t="shared" si="1"/>
        <v>1.1678385711227073E-2</v>
      </c>
    </row>
    <row r="57" spans="1:10" s="3" customFormat="1" ht="12.75">
      <c r="A57" s="7" t="s">
        <v>117</v>
      </c>
      <c r="B57" s="7" t="s">
        <v>118</v>
      </c>
      <c r="C57" s="8">
        <v>146378466000</v>
      </c>
      <c r="D57" s="8">
        <v>13162</v>
      </c>
      <c r="E57" s="8">
        <v>137.03279113769531</v>
      </c>
      <c r="F57" s="8">
        <v>-12.153774277514495</v>
      </c>
      <c r="G57" s="8">
        <v>29088500000</v>
      </c>
      <c r="H57" s="8">
        <v>96.050003051757813</v>
      </c>
      <c r="I57" s="3">
        <f t="shared" si="0"/>
        <v>5.0321764958660635</v>
      </c>
      <c r="J57" s="3">
        <f t="shared" si="1"/>
        <v>7.2975234007688367E-3</v>
      </c>
    </row>
    <row r="58" spans="1:10" s="3" customFormat="1" ht="12.75">
      <c r="A58" s="7" t="s">
        <v>119</v>
      </c>
      <c r="B58" s="7" t="s">
        <v>120</v>
      </c>
      <c r="C58" s="8">
        <v>146264449111.19998</v>
      </c>
      <c r="D58" s="8">
        <v>332.55</v>
      </c>
      <c r="E58" s="8">
        <v>27.036584854125977</v>
      </c>
      <c r="F58" s="8">
        <v>2.0122702159053318E-2</v>
      </c>
      <c r="G58" s="8">
        <v>12290980000</v>
      </c>
      <c r="H58" s="8">
        <v>12.300000190734863</v>
      </c>
      <c r="I58" s="3">
        <f t="shared" si="0"/>
        <v>11.900145400220323</v>
      </c>
      <c r="J58" s="3">
        <f t="shared" si="1"/>
        <v>3.6986919960321572E-2</v>
      </c>
    </row>
    <row r="59" spans="1:10" s="3" customFormat="1" ht="12.75">
      <c r="A59" s="7" t="s">
        <v>121</v>
      </c>
      <c r="B59" s="7" t="s">
        <v>122</v>
      </c>
      <c r="C59" s="8">
        <v>145371820000</v>
      </c>
      <c r="D59" s="8">
        <v>549.85</v>
      </c>
      <c r="E59" s="8">
        <v>25.222476959228516</v>
      </c>
      <c r="F59" s="8">
        <v>-25.484482992275403</v>
      </c>
      <c r="G59" s="8">
        <v>215365900000</v>
      </c>
      <c r="H59" s="8">
        <v>21.799999237060547</v>
      </c>
      <c r="I59" s="3">
        <f t="shared" si="0"/>
        <v>0.674999245470151</v>
      </c>
      <c r="J59" s="3">
        <f t="shared" si="1"/>
        <v>3.964717666771881E-2</v>
      </c>
    </row>
    <row r="60" spans="1:10" s="3" customFormat="1" ht="12.75">
      <c r="A60" s="7" t="s">
        <v>123</v>
      </c>
      <c r="B60" s="7" t="s">
        <v>124</v>
      </c>
      <c r="C60" s="8">
        <v>145006449028.34998</v>
      </c>
      <c r="D60" s="8">
        <v>451.65</v>
      </c>
      <c r="E60" s="8">
        <v>40.196521759033203</v>
      </c>
      <c r="F60" s="8">
        <v>-15.713495173685255</v>
      </c>
      <c r="G60" s="8">
        <v>19935500000</v>
      </c>
      <c r="H60" s="8">
        <v>11.23604679107666</v>
      </c>
      <c r="I60" s="3">
        <f t="shared" si="0"/>
        <v>7.2737803931855218</v>
      </c>
      <c r="J60" s="3">
        <f t="shared" si="1"/>
        <v>2.48777744003503E-2</v>
      </c>
    </row>
    <row r="61" spans="1:10" s="3" customFormat="1" ht="12.75">
      <c r="A61" s="7" t="s">
        <v>125</v>
      </c>
      <c r="B61" s="7" t="s">
        <v>126</v>
      </c>
      <c r="C61" s="8">
        <v>141879707771.10001</v>
      </c>
      <c r="D61" s="8">
        <v>327.75</v>
      </c>
      <c r="E61" s="8">
        <v>45.711296081542969</v>
      </c>
      <c r="F61" s="8">
        <v>-7.621951219515255E-2</v>
      </c>
      <c r="G61" s="8">
        <v>55778200000</v>
      </c>
      <c r="H61" s="8">
        <v>7.1700000762939453</v>
      </c>
      <c r="I61" s="3">
        <f t="shared" si="0"/>
        <v>2.5436408448300591</v>
      </c>
      <c r="J61" s="3">
        <f t="shared" si="1"/>
        <v>2.1876430679544305E-2</v>
      </c>
    </row>
    <row r="62" spans="1:10" s="3" customFormat="1" ht="12.75">
      <c r="A62" s="7" t="s">
        <v>127</v>
      </c>
      <c r="B62" s="7" t="s">
        <v>128</v>
      </c>
      <c r="C62" s="8">
        <v>136150881805.99998</v>
      </c>
      <c r="D62" s="8">
        <v>812</v>
      </c>
      <c r="E62" s="8">
        <v>52.252250671386719</v>
      </c>
      <c r="F62" s="8">
        <v>7.5852931434249093</v>
      </c>
      <c r="G62" s="8">
        <v>26957000000</v>
      </c>
      <c r="H62" s="8">
        <v>15.539999961853027</v>
      </c>
      <c r="I62" s="3">
        <f t="shared" si="0"/>
        <v>5.050668909967726</v>
      </c>
      <c r="J62" s="3">
        <f t="shared" si="1"/>
        <v>1.9137931613491227E-2</v>
      </c>
    </row>
    <row r="63" spans="1:10" s="3" customFormat="1" ht="12.75">
      <c r="A63" s="7" t="s">
        <v>129</v>
      </c>
      <c r="B63" s="7" t="s">
        <v>130</v>
      </c>
      <c r="C63" s="8">
        <v>135518233277.20003</v>
      </c>
      <c r="D63" s="8">
        <v>2183</v>
      </c>
      <c r="E63" s="8">
        <v>62.824337005615234</v>
      </c>
      <c r="F63" s="8">
        <v>30.172927847346486</v>
      </c>
      <c r="G63" s="8">
        <v>28257310000</v>
      </c>
      <c r="H63" s="8">
        <v>34.7476806640625</v>
      </c>
      <c r="I63" s="3">
        <f t="shared" si="0"/>
        <v>4.7958646197107946</v>
      </c>
      <c r="J63" s="3">
        <f t="shared" si="1"/>
        <v>1.5917398378762358E-2</v>
      </c>
    </row>
    <row r="64" spans="1:10" s="3" customFormat="1" ht="12.75">
      <c r="A64" s="7" t="s">
        <v>131</v>
      </c>
      <c r="B64" s="7" t="s">
        <v>132</v>
      </c>
      <c r="C64" s="8">
        <v>134852451997.5</v>
      </c>
      <c r="D64" s="8">
        <v>885.65</v>
      </c>
      <c r="E64" s="8">
        <v>79.217353820800781</v>
      </c>
      <c r="F64" s="8">
        <v>26.151983476960304</v>
      </c>
      <c r="G64" s="8">
        <v>12564565000</v>
      </c>
      <c r="H64" s="8">
        <v>11.180000305175781</v>
      </c>
      <c r="I64" s="3">
        <f t="shared" si="0"/>
        <v>10.732759311404733</v>
      </c>
      <c r="J64" s="3">
        <f t="shared" si="1"/>
        <v>1.2623496642694234E-2</v>
      </c>
    </row>
    <row r="65" spans="1:10" s="3" customFormat="1" ht="12.75">
      <c r="A65" s="7" t="s">
        <v>133</v>
      </c>
      <c r="B65" s="7" t="s">
        <v>134</v>
      </c>
      <c r="C65" s="8">
        <v>134303685811.75002</v>
      </c>
      <c r="D65" s="8">
        <v>832.15</v>
      </c>
      <c r="E65" s="8">
        <v>18.161283493041992</v>
      </c>
      <c r="F65" s="8">
        <v>10.997732426303774</v>
      </c>
      <c r="G65" s="8">
        <v>53188900000</v>
      </c>
      <c r="H65" s="8">
        <v>45.819999694824219</v>
      </c>
      <c r="I65" s="3">
        <f t="shared" si="0"/>
        <v>2.5250322118289721</v>
      </c>
      <c r="J65" s="3">
        <f t="shared" si="1"/>
        <v>5.5062187668791313E-2</v>
      </c>
    </row>
    <row r="66" spans="1:10" s="3" customFormat="1" ht="12.75">
      <c r="A66" s="7" t="s">
        <v>135</v>
      </c>
      <c r="B66" s="7" t="s">
        <v>136</v>
      </c>
      <c r="C66" s="8">
        <v>129595279050</v>
      </c>
      <c r="D66" s="8">
        <v>1666.2</v>
      </c>
      <c r="E66" s="8">
        <v>55.392284393310547</v>
      </c>
      <c r="F66" s="8">
        <v>-14.584508125288353</v>
      </c>
      <c r="G66" s="8">
        <v>16386509999.999998</v>
      </c>
      <c r="H66" s="8">
        <v>30.079999923706055</v>
      </c>
      <c r="I66" s="3">
        <f t="shared" ref="I66:I126" si="2">C66/G66</f>
        <v>7.9086565138031233</v>
      </c>
      <c r="J66" s="3">
        <f t="shared" ref="J66:J126" si="3">1/E66</f>
        <v>1.8053055781190441E-2</v>
      </c>
    </row>
    <row r="67" spans="1:10" s="3" customFormat="1" ht="12.75">
      <c r="A67" s="7" t="s">
        <v>137</v>
      </c>
      <c r="B67" s="7" t="s">
        <v>138</v>
      </c>
      <c r="C67" s="8">
        <v>126149519399.99998</v>
      </c>
      <c r="D67" s="8">
        <v>1496</v>
      </c>
      <c r="E67" s="8">
        <v>42.596813201904297</v>
      </c>
      <c r="F67" s="8">
        <v>-19.449728373168362</v>
      </c>
      <c r="G67" s="8">
        <v>40222227000</v>
      </c>
      <c r="H67" s="8">
        <v>35.119998931884766</v>
      </c>
      <c r="I67" s="3">
        <f t="shared" si="2"/>
        <v>3.1363136456865002</v>
      </c>
      <c r="J67" s="3">
        <f t="shared" si="3"/>
        <v>2.3475934578958007E-2</v>
      </c>
    </row>
    <row r="68" spans="1:10" s="3" customFormat="1" ht="12.75">
      <c r="A68" s="7" t="s">
        <v>139</v>
      </c>
      <c r="B68" s="7" t="s">
        <v>140</v>
      </c>
      <c r="C68" s="8">
        <v>124147733466.42</v>
      </c>
      <c r="D68" s="8">
        <v>188.54</v>
      </c>
      <c r="E68" s="8">
        <v>6.903712272644043</v>
      </c>
      <c r="F68" s="8">
        <v>12.266285578182746</v>
      </c>
      <c r="G68" s="8">
        <v>208288948000</v>
      </c>
      <c r="H68" s="8">
        <v>27.309944152832031</v>
      </c>
      <c r="I68" s="3">
        <f t="shared" si="2"/>
        <v>0.59603610589276201</v>
      </c>
      <c r="J68" s="3">
        <f t="shared" si="3"/>
        <v>0.14484960561906665</v>
      </c>
    </row>
    <row r="69" spans="1:10" s="3" customFormat="1" ht="12.75">
      <c r="A69" s="7" t="s">
        <v>141</v>
      </c>
      <c r="B69" s="7" t="s">
        <v>142</v>
      </c>
      <c r="C69" s="8">
        <v>123989097056.40001</v>
      </c>
      <c r="D69" s="8">
        <v>1512.3</v>
      </c>
      <c r="E69" s="8">
        <v>28.92140007019043</v>
      </c>
      <c r="F69" s="8">
        <v>-6.0799900633461412</v>
      </c>
      <c r="G69" s="8">
        <v>44922432000</v>
      </c>
      <c r="H69" s="8">
        <v>52.290000915527344</v>
      </c>
      <c r="I69" s="3">
        <f t="shared" si="2"/>
        <v>2.7600708941225625</v>
      </c>
      <c r="J69" s="3">
        <f t="shared" si="3"/>
        <v>3.4576472700943335E-2</v>
      </c>
    </row>
    <row r="70" spans="1:10" s="3" customFormat="1" ht="12.75">
      <c r="A70" s="7" t="s">
        <v>143</v>
      </c>
      <c r="B70" s="7" t="s">
        <v>144</v>
      </c>
      <c r="C70" s="8">
        <v>122969635600.89999</v>
      </c>
      <c r="D70" s="8">
        <v>671.5</v>
      </c>
      <c r="E70" s="8">
        <v>32.330284118652344</v>
      </c>
      <c r="F70" s="8">
        <v>3.9473684210526105</v>
      </c>
      <c r="G70" s="8">
        <v>60015964000</v>
      </c>
      <c r="H70" s="8">
        <v>20.770000457763672</v>
      </c>
      <c r="I70" s="3">
        <f t="shared" si="2"/>
        <v>2.0489487697123385</v>
      </c>
      <c r="J70" s="3">
        <f t="shared" si="3"/>
        <v>3.0930751994940525E-2</v>
      </c>
    </row>
    <row r="71" spans="1:10" s="3" customFormat="1" ht="12.75">
      <c r="A71" s="7" t="s">
        <v>145</v>
      </c>
      <c r="B71" s="7" t="s">
        <v>146</v>
      </c>
      <c r="C71" s="8">
        <v>121048055301</v>
      </c>
      <c r="D71" s="8">
        <v>5056.5</v>
      </c>
      <c r="E71" s="8">
        <v>47.296791076660156</v>
      </c>
      <c r="F71" s="8">
        <v>-8.4133309183119458</v>
      </c>
      <c r="G71" s="8">
        <v>60247300000</v>
      </c>
      <c r="H71" s="8">
        <v>106.90999984741211</v>
      </c>
      <c r="I71" s="3">
        <f t="shared" si="2"/>
        <v>2.0091863917719133</v>
      </c>
      <c r="J71" s="3">
        <f t="shared" si="3"/>
        <v>2.1143083436234986E-2</v>
      </c>
    </row>
    <row r="72" spans="1:10" s="3" customFormat="1" ht="12.75">
      <c r="A72" s="7" t="s">
        <v>147</v>
      </c>
      <c r="B72" s="7" t="s">
        <v>148</v>
      </c>
      <c r="C72" s="8">
        <v>118612523117.40001</v>
      </c>
      <c r="D72" s="8">
        <v>595.75</v>
      </c>
      <c r="E72" s="8">
        <v>25.190275192260742</v>
      </c>
      <c r="F72" s="8">
        <v>-7.1606669783388028</v>
      </c>
      <c r="G72" s="8">
        <v>25600300000</v>
      </c>
      <c r="H72" s="8">
        <v>23.649999618530273</v>
      </c>
      <c r="I72" s="3">
        <f t="shared" si="2"/>
        <v>4.6332473884056053</v>
      </c>
      <c r="J72" s="3">
        <f t="shared" si="3"/>
        <v>3.9697859287667961E-2</v>
      </c>
    </row>
    <row r="73" spans="1:10" s="3" customFormat="1" ht="12.75">
      <c r="A73" s="7" t="s">
        <v>149</v>
      </c>
      <c r="B73" s="7" t="s">
        <v>150</v>
      </c>
      <c r="C73" s="8">
        <v>116322987010.22263</v>
      </c>
      <c r="D73" s="8">
        <v>123.82</v>
      </c>
      <c r="E73" s="8">
        <v>16.018110275268555</v>
      </c>
      <c r="F73" s="8">
        <v>-29.751442385198612</v>
      </c>
      <c r="G73" s="8">
        <v>107595800000</v>
      </c>
      <c r="H73" s="8">
        <v>7.7300000190734863</v>
      </c>
      <c r="I73" s="3">
        <f t="shared" si="2"/>
        <v>1.0811108520055859</v>
      </c>
      <c r="J73" s="3">
        <f t="shared" si="3"/>
        <v>6.2429336720447461E-2</v>
      </c>
    </row>
    <row r="74" spans="1:10" s="3" customFormat="1" ht="12.75">
      <c r="A74" s="7" t="s">
        <v>151</v>
      </c>
      <c r="B74" s="7" t="s">
        <v>152</v>
      </c>
      <c r="C74" s="8">
        <v>115144280000</v>
      </c>
      <c r="D74" s="8">
        <v>3633.2</v>
      </c>
      <c r="E74" s="8">
        <v>42.874675750732422</v>
      </c>
      <c r="F74" s="8">
        <v>3.8947669430939857</v>
      </c>
      <c r="G74" s="8">
        <v>13180448000</v>
      </c>
      <c r="H74" s="8">
        <v>84.739997863769531</v>
      </c>
      <c r="I74" s="3">
        <f t="shared" si="2"/>
        <v>8.7359913714617292</v>
      </c>
      <c r="J74" s="3">
        <f t="shared" si="3"/>
        <v>2.3323791550374982E-2</v>
      </c>
    </row>
    <row r="75" spans="1:10" s="3" customFormat="1" ht="12.75">
      <c r="A75" s="7" t="s">
        <v>153</v>
      </c>
      <c r="B75" s="7" t="s">
        <v>154</v>
      </c>
      <c r="C75" s="8">
        <v>112227464151.40001</v>
      </c>
      <c r="D75" s="8">
        <v>261.8</v>
      </c>
      <c r="E75" s="8">
        <v>28.832597732543945</v>
      </c>
      <c r="F75" s="8">
        <v>-22.943340691685123</v>
      </c>
      <c r="G75" s="8">
        <v>39336925000</v>
      </c>
      <c r="H75" s="8">
        <v>9.0799999237060547</v>
      </c>
      <c r="I75" s="3">
        <f t="shared" si="2"/>
        <v>2.8529800982511979</v>
      </c>
      <c r="J75" s="3">
        <f t="shared" si="3"/>
        <v>3.4682965762439066E-2</v>
      </c>
    </row>
    <row r="76" spans="1:10" s="3" customFormat="1" ht="12.75">
      <c r="A76" s="7" t="s">
        <v>155</v>
      </c>
      <c r="B76" s="7" t="s">
        <v>156</v>
      </c>
      <c r="C76" s="8">
        <v>110246268107</v>
      </c>
      <c r="D76" s="8">
        <v>2267.4</v>
      </c>
      <c r="E76" s="8">
        <v>111.74961853027344</v>
      </c>
      <c r="F76" s="8">
        <v>0.25645560665017442</v>
      </c>
      <c r="G76" s="8">
        <v>7867977000</v>
      </c>
      <c r="H76" s="8">
        <v>20.290000915527344</v>
      </c>
      <c r="I76" s="3">
        <f t="shared" si="2"/>
        <v>14.012022163638759</v>
      </c>
      <c r="J76" s="3">
        <f t="shared" si="3"/>
        <v>8.9485764081520848E-3</v>
      </c>
    </row>
    <row r="77" spans="1:10" s="3" customFormat="1" ht="12.75">
      <c r="A77" s="7" t="s">
        <v>157</v>
      </c>
      <c r="B77" s="7" t="s">
        <v>158</v>
      </c>
      <c r="C77" s="8">
        <v>108694198983.5</v>
      </c>
      <c r="D77" s="8">
        <v>233.35</v>
      </c>
      <c r="E77" s="8">
        <v>12.885146141052246</v>
      </c>
      <c r="F77" s="8">
        <v>1.9763342363339431</v>
      </c>
      <c r="G77" s="8">
        <v>56058300000</v>
      </c>
      <c r="H77" s="8">
        <v>18.110000610351563</v>
      </c>
      <c r="I77" s="3">
        <f t="shared" si="2"/>
        <v>1.9389492543209481</v>
      </c>
      <c r="J77" s="3">
        <f t="shared" si="3"/>
        <v>7.7608743358679247E-2</v>
      </c>
    </row>
    <row r="78" spans="1:10" s="3" customFormat="1" ht="12.75">
      <c r="A78" s="7" t="s">
        <v>159</v>
      </c>
      <c r="B78" s="7" t="s">
        <v>160</v>
      </c>
      <c r="C78" s="8">
        <v>108436786152.3</v>
      </c>
      <c r="D78" s="8">
        <v>3555.6</v>
      </c>
      <c r="E78" s="8">
        <v>206.8411865234375</v>
      </c>
      <c r="F78" s="8">
        <v>47.126246534530566</v>
      </c>
      <c r="G78" s="8">
        <v>6646460000</v>
      </c>
      <c r="H78" s="8">
        <v>17.190000534057617</v>
      </c>
      <c r="I78" s="3">
        <f t="shared" si="2"/>
        <v>16.314968592649322</v>
      </c>
      <c r="J78" s="3">
        <f t="shared" si="3"/>
        <v>4.834627072141111E-3</v>
      </c>
    </row>
    <row r="79" spans="1:10" s="3" customFormat="1" ht="12.75">
      <c r="A79" s="7" t="s">
        <v>161</v>
      </c>
      <c r="B79" s="7" t="s">
        <v>162</v>
      </c>
      <c r="C79" s="8">
        <v>107709800361.71999</v>
      </c>
      <c r="D79" s="8">
        <v>195.98</v>
      </c>
      <c r="E79" s="8">
        <v>18.990310668945313</v>
      </c>
      <c r="F79" s="8">
        <v>-1.9007603146041885</v>
      </c>
      <c r="G79" s="8">
        <v>30875850000</v>
      </c>
      <c r="H79" s="8">
        <v>10.319999694824219</v>
      </c>
      <c r="I79" s="3">
        <f t="shared" si="2"/>
        <v>3.4884804907952329</v>
      </c>
      <c r="J79" s="3">
        <f t="shared" si="3"/>
        <v>5.2658432894164872E-2</v>
      </c>
    </row>
    <row r="80" spans="1:10" s="3" customFormat="1" ht="12.75">
      <c r="A80" s="7" t="s">
        <v>163</v>
      </c>
      <c r="B80" s="7" t="s">
        <v>164</v>
      </c>
      <c r="C80" s="8">
        <v>107164464450</v>
      </c>
      <c r="D80" s="8">
        <v>1238.8</v>
      </c>
      <c r="E80" s="8">
        <v>49.751007080078125</v>
      </c>
      <c r="F80" s="8">
        <v>9.2319901243275826</v>
      </c>
      <c r="G80" s="8">
        <v>13059976000</v>
      </c>
      <c r="H80" s="8">
        <v>24.899999618530273</v>
      </c>
      <c r="I80" s="3">
        <f t="shared" si="2"/>
        <v>8.205563658769357</v>
      </c>
      <c r="J80" s="3">
        <f t="shared" si="3"/>
        <v>2.0100095630032615E-2</v>
      </c>
    </row>
    <row r="81" spans="1:10" s="3" customFormat="1" ht="12.75">
      <c r="A81" s="7" t="s">
        <v>165</v>
      </c>
      <c r="B81" s="7" t="s">
        <v>166</v>
      </c>
      <c r="C81" s="8">
        <v>102519965891.25</v>
      </c>
      <c r="D81" s="8">
        <v>282.64999999999998</v>
      </c>
      <c r="E81" s="8">
        <v>21.354209899902344</v>
      </c>
      <c r="F81" s="8">
        <v>-26.944947014732534</v>
      </c>
      <c r="G81" s="8">
        <v>125037600000</v>
      </c>
      <c r="H81" s="8">
        <v>13.236266136169434</v>
      </c>
      <c r="I81" s="3">
        <f t="shared" si="2"/>
        <v>0.81991309727034112</v>
      </c>
      <c r="J81" s="3">
        <f t="shared" si="3"/>
        <v>4.6829173483237757E-2</v>
      </c>
    </row>
    <row r="82" spans="1:10" s="3" customFormat="1" ht="12.75">
      <c r="A82" s="7" t="s">
        <v>167</v>
      </c>
      <c r="B82" s="7" t="s">
        <v>168</v>
      </c>
      <c r="C82" s="8">
        <v>99064862464.800003</v>
      </c>
      <c r="D82" s="8">
        <v>264.35000000000002</v>
      </c>
      <c r="E82" s="8">
        <v>21.422204971313477</v>
      </c>
      <c r="F82" s="8">
        <v>-17.062211764401059</v>
      </c>
      <c r="G82" s="8">
        <v>21933019000</v>
      </c>
      <c r="H82" s="8">
        <v>12.340000152587891</v>
      </c>
      <c r="I82" s="3">
        <f t="shared" si="2"/>
        <v>4.5166997969955709</v>
      </c>
      <c r="J82" s="3">
        <f t="shared" si="3"/>
        <v>4.6680535516259988E-2</v>
      </c>
    </row>
    <row r="83" spans="1:10" s="3" customFormat="1" ht="12.75">
      <c r="A83" s="7" t="s">
        <v>169</v>
      </c>
      <c r="B83" s="7" t="s">
        <v>170</v>
      </c>
      <c r="C83" s="8">
        <v>98737831963.399994</v>
      </c>
      <c r="D83" s="8">
        <v>818.7</v>
      </c>
      <c r="E83" s="8">
        <v>23.806339263916016</v>
      </c>
      <c r="F83" s="8">
        <v>-13.516083029630776</v>
      </c>
      <c r="G83" s="8">
        <v>33270504999.999996</v>
      </c>
      <c r="H83" s="8">
        <v>34.389999389648438</v>
      </c>
      <c r="I83" s="3">
        <f t="shared" si="2"/>
        <v>2.96772868230885</v>
      </c>
      <c r="J83" s="3">
        <f t="shared" si="3"/>
        <v>4.2005618289903568E-2</v>
      </c>
    </row>
    <row r="84" spans="1:10" s="3" customFormat="1" ht="12.75">
      <c r="A84" s="7" t="s">
        <v>171</v>
      </c>
      <c r="B84" s="7" t="s">
        <v>172</v>
      </c>
      <c r="C84" s="8">
        <v>96131756569.5</v>
      </c>
      <c r="D84" s="8">
        <v>503.1</v>
      </c>
      <c r="E84" s="8">
        <v>84.412750244140625</v>
      </c>
      <c r="F84" s="8">
        <v>-19.355614330367843</v>
      </c>
      <c r="G84" s="8">
        <v>21443207000</v>
      </c>
      <c r="H84" s="8">
        <v>5.9600000381469727</v>
      </c>
      <c r="I84" s="3">
        <f t="shared" si="2"/>
        <v>4.4830867215664147</v>
      </c>
      <c r="J84" s="3">
        <f t="shared" si="3"/>
        <v>1.1846551582643326E-2</v>
      </c>
    </row>
    <row r="85" spans="1:10" s="3" customFormat="1" ht="12.75">
      <c r="A85" s="7" t="s">
        <v>173</v>
      </c>
      <c r="B85" s="7" t="s">
        <v>174</v>
      </c>
      <c r="C85" s="8">
        <v>94896413164.200012</v>
      </c>
      <c r="D85" s="8">
        <v>1473.2</v>
      </c>
      <c r="E85" s="8">
        <v>100.49112701416016</v>
      </c>
      <c r="F85" s="8">
        <v>-10.866408518877002</v>
      </c>
      <c r="G85" s="8">
        <v>4437940000</v>
      </c>
      <c r="H85" s="8">
        <v>14.659999847412109</v>
      </c>
      <c r="I85" s="3">
        <f t="shared" si="2"/>
        <v>21.382986963365887</v>
      </c>
      <c r="J85" s="3">
        <f t="shared" si="3"/>
        <v>9.951127325491041E-3</v>
      </c>
    </row>
    <row r="86" spans="1:10" s="3" customFormat="1" ht="12.75">
      <c r="A86" s="7" t="s">
        <v>175</v>
      </c>
      <c r="B86" s="7" t="s">
        <v>176</v>
      </c>
      <c r="C86" s="8">
        <v>92696580326.400009</v>
      </c>
      <c r="D86" s="8">
        <v>563.25</v>
      </c>
      <c r="E86" s="8">
        <v>25.956220626831055</v>
      </c>
      <c r="F86" s="8">
        <v>-28.553307541066776</v>
      </c>
      <c r="G86" s="8">
        <v>90969408000</v>
      </c>
      <c r="H86" s="8">
        <v>21.700000762939453</v>
      </c>
      <c r="I86" s="3">
        <f t="shared" si="2"/>
        <v>1.018986298409241</v>
      </c>
      <c r="J86" s="3">
        <f t="shared" si="3"/>
        <v>3.8526410080144555E-2</v>
      </c>
    </row>
    <row r="87" spans="1:10" s="3" customFormat="1" ht="12.75">
      <c r="A87" s="7" t="s">
        <v>177</v>
      </c>
      <c r="B87" s="7" t="s">
        <v>178</v>
      </c>
      <c r="C87" s="8">
        <v>92064457774.090942</v>
      </c>
      <c r="D87" s="8">
        <v>191.31</v>
      </c>
      <c r="E87" s="8">
        <v>23.883893966674805</v>
      </c>
      <c r="F87" s="8">
        <v>-20.554393908981673</v>
      </c>
      <c r="G87" s="8">
        <v>21841000000</v>
      </c>
      <c r="H87" s="8">
        <v>8.0100002288818359</v>
      </c>
      <c r="I87" s="3">
        <f t="shared" si="2"/>
        <v>4.2152125714981432</v>
      </c>
      <c r="J87" s="3">
        <f t="shared" si="3"/>
        <v>4.1869219541641738E-2</v>
      </c>
    </row>
    <row r="88" spans="1:10" s="3" customFormat="1" ht="12.75">
      <c r="A88" s="7" t="s">
        <v>179</v>
      </c>
      <c r="B88" s="7" t="s">
        <v>180</v>
      </c>
      <c r="C88" s="8">
        <v>91716198352.099991</v>
      </c>
      <c r="D88" s="8">
        <v>815.7</v>
      </c>
      <c r="E88" s="8">
        <v>14.57908821105957</v>
      </c>
      <c r="F88" s="8">
        <v>-27.026301663982778</v>
      </c>
      <c r="G88" s="8">
        <v>73604000000</v>
      </c>
      <c r="H88" s="8">
        <v>55.950000762939453</v>
      </c>
      <c r="I88" s="3">
        <f t="shared" si="2"/>
        <v>1.2460762778123471</v>
      </c>
      <c r="J88" s="3">
        <f t="shared" si="3"/>
        <v>6.8591395121775076E-2</v>
      </c>
    </row>
    <row r="89" spans="1:10" s="3" customFormat="1" ht="12.75">
      <c r="A89" s="7" t="s">
        <v>181</v>
      </c>
      <c r="B89" s="7" t="s">
        <v>182</v>
      </c>
      <c r="C89" s="8">
        <v>90442890863.32312</v>
      </c>
      <c r="D89" s="8">
        <v>505.25</v>
      </c>
      <c r="E89" s="8">
        <v>27.564102172851563</v>
      </c>
      <c r="F89" s="8">
        <v>-3.4215808085634958</v>
      </c>
      <c r="G89" s="8">
        <v>40341068000</v>
      </c>
      <c r="H89" s="8">
        <v>22.950000762939453</v>
      </c>
      <c r="I89" s="3">
        <f t="shared" si="2"/>
        <v>2.2419557871725933</v>
      </c>
      <c r="J89" s="3">
        <f t="shared" si="3"/>
        <v>3.6279070282395055E-2</v>
      </c>
    </row>
    <row r="90" spans="1:10" s="3" customFormat="1" ht="12.75">
      <c r="A90" s="7" t="s">
        <v>183</v>
      </c>
      <c r="B90" s="7" t="s">
        <v>184</v>
      </c>
      <c r="C90" s="8">
        <v>90075400783.800018</v>
      </c>
      <c r="D90" s="8">
        <v>1063.5</v>
      </c>
      <c r="E90" s="8">
        <v>62.854610443115234</v>
      </c>
      <c r="F90" s="8">
        <v>-11.301084236864089</v>
      </c>
      <c r="G90" s="8">
        <v>18018968000</v>
      </c>
      <c r="H90" s="8">
        <v>16.920000076293945</v>
      </c>
      <c r="I90" s="3">
        <f t="shared" si="2"/>
        <v>4.9989211803805862</v>
      </c>
      <c r="J90" s="3">
        <f t="shared" si="3"/>
        <v>1.5909731886812366E-2</v>
      </c>
    </row>
    <row r="91" spans="1:10" s="3" customFormat="1" ht="12.75">
      <c r="A91" s="7" t="s">
        <v>185</v>
      </c>
      <c r="B91" s="7" t="s">
        <v>186</v>
      </c>
      <c r="C91" s="8">
        <v>89449207087.5</v>
      </c>
      <c r="D91" s="8">
        <v>454.1</v>
      </c>
      <c r="E91" s="8">
        <v>53.676124572753906</v>
      </c>
      <c r="F91" s="8">
        <v>-26.616031027795707</v>
      </c>
      <c r="G91" s="8">
        <v>24223556000</v>
      </c>
      <c r="H91" s="8">
        <v>8.4600000381469727</v>
      </c>
      <c r="I91" s="3">
        <f t="shared" si="2"/>
        <v>3.692653840233036</v>
      </c>
      <c r="J91" s="3">
        <f t="shared" si="3"/>
        <v>1.8630257082822288E-2</v>
      </c>
    </row>
    <row r="92" spans="1:10" s="3" customFormat="1" ht="12.75">
      <c r="A92" s="7" t="s">
        <v>187</v>
      </c>
      <c r="B92" s="7" t="s">
        <v>188</v>
      </c>
      <c r="C92" s="8">
        <v>88268951806.919998</v>
      </c>
      <c r="D92" s="8">
        <v>140.19</v>
      </c>
      <c r="E92" s="8">
        <v>10.73430347442627</v>
      </c>
      <c r="F92" s="8">
        <v>-12.621540762902084</v>
      </c>
      <c r="G92" s="8">
        <v>221993600000</v>
      </c>
      <c r="H92" s="8">
        <v>13.060000419616699</v>
      </c>
      <c r="I92" s="3">
        <f t="shared" si="2"/>
        <v>0.3976193539224554</v>
      </c>
      <c r="J92" s="3">
        <f t="shared" si="3"/>
        <v>9.3159281585659504E-2</v>
      </c>
    </row>
    <row r="93" spans="1:10" s="3" customFormat="1" ht="12.75">
      <c r="A93" s="7" t="s">
        <v>189</v>
      </c>
      <c r="B93" s="7" t="s">
        <v>190</v>
      </c>
      <c r="C93" s="8">
        <v>87482312710.500015</v>
      </c>
      <c r="D93" s="8">
        <v>387.25</v>
      </c>
      <c r="E93" s="8">
        <v>20.932432174682617</v>
      </c>
      <c r="F93" s="8">
        <v>-19.565894693114551</v>
      </c>
      <c r="G93" s="8">
        <v>21970000000</v>
      </c>
      <c r="H93" s="8">
        <v>18.5</v>
      </c>
      <c r="I93" s="3">
        <f t="shared" si="2"/>
        <v>3.9818986213245342</v>
      </c>
      <c r="J93" s="3">
        <f t="shared" si="3"/>
        <v>4.7772757205418355E-2</v>
      </c>
    </row>
    <row r="94" spans="1:10" s="3" customFormat="1" ht="12.75">
      <c r="A94" s="7" t="s">
        <v>191</v>
      </c>
      <c r="B94" s="7" t="s">
        <v>192</v>
      </c>
      <c r="C94" s="8">
        <v>87052759040</v>
      </c>
      <c r="D94" s="8">
        <v>8582</v>
      </c>
      <c r="E94" s="8">
        <v>26.681175231933594</v>
      </c>
      <c r="F94" s="8">
        <v>9.2969943963322024</v>
      </c>
      <c r="G94" s="8">
        <v>19342303000</v>
      </c>
      <c r="H94" s="8">
        <v>321.64999389648438</v>
      </c>
      <c r="I94" s="3">
        <f t="shared" si="2"/>
        <v>4.5006408512988347</v>
      </c>
      <c r="J94" s="3">
        <f t="shared" si="3"/>
        <v>3.7479608424562251E-2</v>
      </c>
    </row>
    <row r="95" spans="1:10" s="3" customFormat="1" ht="12.75">
      <c r="A95" s="7" t="s">
        <v>193</v>
      </c>
      <c r="B95" s="7" t="s">
        <v>194</v>
      </c>
      <c r="C95" s="8">
        <v>85592287565.099991</v>
      </c>
      <c r="D95" s="8">
        <v>282.89999999999998</v>
      </c>
      <c r="E95" s="8">
        <v>39.237171173095703</v>
      </c>
      <c r="F95" s="8">
        <v>-0.82383873794911189</v>
      </c>
      <c r="G95" s="8">
        <v>19902203000</v>
      </c>
      <c r="H95" s="8">
        <v>7.2100000381469727</v>
      </c>
      <c r="I95" s="3">
        <f t="shared" si="2"/>
        <v>4.3006438817401262</v>
      </c>
      <c r="J95" s="3">
        <f t="shared" si="3"/>
        <v>2.5486037094480551E-2</v>
      </c>
    </row>
    <row r="96" spans="1:10" s="3" customFormat="1" ht="12.75">
      <c r="A96" s="7" t="s">
        <v>195</v>
      </c>
      <c r="B96" s="7" t="s">
        <v>196</v>
      </c>
      <c r="C96" s="8">
        <v>84352911298.866211</v>
      </c>
      <c r="D96" s="8">
        <v>628.75</v>
      </c>
      <c r="E96" s="8">
        <v>30.650390625</v>
      </c>
      <c r="F96" s="8">
        <v>-29.508380514602848</v>
      </c>
      <c r="G96" s="8">
        <v>38677500000</v>
      </c>
      <c r="H96" s="8">
        <v>20.50322151184082</v>
      </c>
      <c r="I96" s="3">
        <f t="shared" si="2"/>
        <v>2.1809297730945953</v>
      </c>
      <c r="J96" s="3">
        <f t="shared" si="3"/>
        <v>3.2626011597527559E-2</v>
      </c>
    </row>
    <row r="97" spans="1:10" s="3" customFormat="1" ht="12.75">
      <c r="A97" s="7" t="s">
        <v>197</v>
      </c>
      <c r="B97" s="7" t="s">
        <v>198</v>
      </c>
      <c r="C97" s="8">
        <v>83214666120</v>
      </c>
      <c r="D97" s="8">
        <v>5254.5</v>
      </c>
      <c r="E97" s="8">
        <v>46.100193023681641</v>
      </c>
      <c r="F97" s="8">
        <v>-13.343453849960307</v>
      </c>
      <c r="G97" s="8">
        <v>13734700000</v>
      </c>
      <c r="H97" s="8">
        <v>113.98000335693359</v>
      </c>
      <c r="I97" s="3">
        <f t="shared" si="2"/>
        <v>6.0587174179268564</v>
      </c>
      <c r="J97" s="3">
        <f t="shared" si="3"/>
        <v>2.1691883144313532E-2</v>
      </c>
    </row>
    <row r="98" spans="1:10" s="3" customFormat="1" ht="12.75">
      <c r="A98" s="7" t="s">
        <v>199</v>
      </c>
      <c r="B98" s="7" t="s">
        <v>200</v>
      </c>
      <c r="C98" s="8">
        <v>83185027962.458801</v>
      </c>
      <c r="D98" s="8">
        <v>823.3</v>
      </c>
      <c r="E98" s="8">
        <v>7.8548088073730469</v>
      </c>
      <c r="F98" s="8">
        <v>-17.352511321151841</v>
      </c>
      <c r="G98" s="8">
        <v>73947041000</v>
      </c>
      <c r="H98" s="8">
        <v>104.81477355957031</v>
      </c>
      <c r="I98" s="3">
        <f t="shared" si="2"/>
        <v>1.124927067229895</v>
      </c>
      <c r="J98" s="3">
        <f t="shared" si="3"/>
        <v>0.12731054625560503</v>
      </c>
    </row>
    <row r="99" spans="1:10" s="3" customFormat="1" ht="12.75">
      <c r="A99" s="7" t="s">
        <v>201</v>
      </c>
      <c r="B99" s="7" t="s">
        <v>202</v>
      </c>
      <c r="C99" s="8">
        <v>81631952131.079987</v>
      </c>
      <c r="D99" s="8">
        <v>101.92</v>
      </c>
      <c r="E99" s="8">
        <v>4.3487820625305176</v>
      </c>
      <c r="F99" s="8">
        <v>-8.435899739466457</v>
      </c>
      <c r="G99" s="8">
        <v>62849900000</v>
      </c>
      <c r="H99" s="8">
        <v>20.719999313354492</v>
      </c>
      <c r="I99" s="3">
        <f t="shared" si="2"/>
        <v>1.2988398093088451</v>
      </c>
      <c r="J99" s="3">
        <f t="shared" si="3"/>
        <v>0.2299494400089824</v>
      </c>
    </row>
    <row r="100" spans="1:10" s="3" customFormat="1" ht="12.75">
      <c r="A100" s="7" t="s">
        <v>203</v>
      </c>
      <c r="B100" s="7" t="s">
        <v>204</v>
      </c>
      <c r="C100" s="8">
        <v>79199753010</v>
      </c>
      <c r="D100" s="8">
        <v>560.75</v>
      </c>
      <c r="E100" s="8">
        <v>20.472801208496094</v>
      </c>
      <c r="F100" s="8">
        <v>-17.461070216420328</v>
      </c>
      <c r="G100" s="8">
        <v>31872434000</v>
      </c>
      <c r="H100" s="8">
        <v>27.389999389648438</v>
      </c>
      <c r="I100" s="3">
        <f t="shared" si="2"/>
        <v>2.4848981728223203</v>
      </c>
      <c r="J100" s="3">
        <f t="shared" si="3"/>
        <v>4.8845294291481996E-2</v>
      </c>
    </row>
    <row r="101" spans="1:10" s="3" customFormat="1" ht="12.75">
      <c r="A101" s="7" t="s">
        <v>205</v>
      </c>
      <c r="B101" s="7" t="s">
        <v>206</v>
      </c>
      <c r="C101" s="8">
        <v>77060735245.200012</v>
      </c>
      <c r="D101" s="8">
        <v>1251.8</v>
      </c>
      <c r="E101" s="8">
        <v>26.364786148071289</v>
      </c>
      <c r="F101" s="8">
        <v>-3.951507711194624</v>
      </c>
      <c r="G101" s="8">
        <v>32940000000</v>
      </c>
      <c r="H101" s="8">
        <v>47.479999542236328</v>
      </c>
      <c r="I101" s="3">
        <f t="shared" si="2"/>
        <v>2.3394272994899823</v>
      </c>
      <c r="J101" s="3">
        <f t="shared" si="3"/>
        <v>3.7929380287165908E-2</v>
      </c>
    </row>
    <row r="102" spans="1:10" s="3" customFormat="1" ht="12.75">
      <c r="A102" s="7" t="s">
        <v>207</v>
      </c>
      <c r="B102" s="7" t="s">
        <v>208</v>
      </c>
      <c r="C102" s="8">
        <v>76005924316.200012</v>
      </c>
      <c r="D102" s="8">
        <v>1523.2</v>
      </c>
      <c r="E102" s="8">
        <v>13.30724048614502</v>
      </c>
      <c r="F102" s="8">
        <v>-17.713791799470645</v>
      </c>
      <c r="G102" s="8">
        <v>49199200000</v>
      </c>
      <c r="H102" s="8">
        <v>114.46399688720703</v>
      </c>
      <c r="I102" s="3">
        <f t="shared" si="2"/>
        <v>1.5448609797760942</v>
      </c>
      <c r="J102" s="3">
        <f t="shared" si="3"/>
        <v>7.5147060056603099E-2</v>
      </c>
    </row>
    <row r="103" spans="1:10" s="3" customFormat="1" ht="12.75">
      <c r="A103" s="7" t="s">
        <v>209</v>
      </c>
      <c r="B103" s="7" t="s">
        <v>210</v>
      </c>
      <c r="C103" s="8">
        <v>75671785467</v>
      </c>
      <c r="D103" s="8">
        <v>579.75</v>
      </c>
      <c r="E103" s="8">
        <v>9.992243766784668</v>
      </c>
      <c r="F103" s="8">
        <v>3.2778124164958955</v>
      </c>
      <c r="G103" s="8">
        <v>52686600000</v>
      </c>
      <c r="H103" s="8">
        <v>58.020000457763672</v>
      </c>
      <c r="I103" s="3">
        <f t="shared" si="2"/>
        <v>1.4362624551024359</v>
      </c>
      <c r="J103" s="3">
        <f t="shared" si="3"/>
        <v>0.10007762253800408</v>
      </c>
    </row>
    <row r="104" spans="1:10" s="3" customFormat="1" ht="12.75">
      <c r="A104" s="7" t="s">
        <v>211</v>
      </c>
      <c r="B104" s="7" t="s">
        <v>212</v>
      </c>
      <c r="C104" s="8">
        <v>73323331149.699997</v>
      </c>
      <c r="D104" s="8">
        <v>149.79</v>
      </c>
      <c r="E104" s="8">
        <v>18.244821548461914</v>
      </c>
      <c r="F104" s="8">
        <v>-17.711366258309049</v>
      </c>
      <c r="G104" s="8">
        <v>9142170000</v>
      </c>
      <c r="H104" s="8">
        <v>8.2100000381469727</v>
      </c>
      <c r="I104" s="3">
        <f t="shared" si="2"/>
        <v>8.0203421233361443</v>
      </c>
      <c r="J104" s="3">
        <f t="shared" si="3"/>
        <v>5.4810072948304756E-2</v>
      </c>
    </row>
    <row r="105" spans="1:10" s="3" customFormat="1" ht="12.75">
      <c r="A105" s="7" t="s">
        <v>213</v>
      </c>
      <c r="B105" s="7" t="s">
        <v>214</v>
      </c>
      <c r="C105" s="8">
        <v>72738460438.5</v>
      </c>
      <c r="D105" s="8">
        <v>234.6</v>
      </c>
      <c r="E105" s="8">
        <v>21.173286437988281</v>
      </c>
      <c r="F105" s="8">
        <v>-20.699743408977824</v>
      </c>
      <c r="G105" s="8">
        <v>24001769000</v>
      </c>
      <c r="H105" s="8">
        <v>11.270000457763672</v>
      </c>
      <c r="I105" s="3">
        <f t="shared" si="2"/>
        <v>3.0305458084568682</v>
      </c>
      <c r="J105" s="3">
        <f t="shared" si="3"/>
        <v>4.7229323748524892E-2</v>
      </c>
    </row>
    <row r="106" spans="1:10" s="3" customFormat="1" ht="12.75">
      <c r="A106" s="7" t="s">
        <v>215</v>
      </c>
      <c r="B106" s="7" t="s">
        <v>216</v>
      </c>
      <c r="C106" s="8">
        <v>72492190646.199997</v>
      </c>
      <c r="D106" s="8">
        <v>938.5</v>
      </c>
      <c r="E106" s="8">
        <v>16.083976745605469</v>
      </c>
      <c r="F106" s="8">
        <v>-12.236013600993056</v>
      </c>
      <c r="G106" s="8">
        <v>47718000000</v>
      </c>
      <c r="H106" s="8">
        <v>58.34999942779541</v>
      </c>
      <c r="I106" s="3">
        <f t="shared" si="2"/>
        <v>1.5191791492979587</v>
      </c>
      <c r="J106" s="3">
        <f t="shared" si="3"/>
        <v>6.2173678550811393E-2</v>
      </c>
    </row>
    <row r="107" spans="1:10" s="3" customFormat="1" ht="12.75">
      <c r="A107" s="7" t="s">
        <v>217</v>
      </c>
      <c r="B107" s="7" t="s">
        <v>218</v>
      </c>
      <c r="C107" s="8">
        <v>72086909634.559998</v>
      </c>
      <c r="D107" s="8">
        <v>73.709999999999994</v>
      </c>
      <c r="E107" s="8">
        <v>63.543106079101563</v>
      </c>
      <c r="F107" s="8">
        <v>-16.06695513550449</v>
      </c>
      <c r="G107" s="8">
        <v>59997322000</v>
      </c>
      <c r="H107" s="8">
        <v>1.1599999666213989</v>
      </c>
      <c r="I107" s="3">
        <f t="shared" si="2"/>
        <v>1.2015021209539984</v>
      </c>
      <c r="J107" s="3">
        <f t="shared" si="3"/>
        <v>1.5737348419121205E-2</v>
      </c>
    </row>
    <row r="108" spans="1:10" s="3" customFormat="1" ht="12.75">
      <c r="A108" s="7" t="s">
        <v>219</v>
      </c>
      <c r="B108" s="7" t="s">
        <v>220</v>
      </c>
      <c r="C108" s="8">
        <v>70968997357.199997</v>
      </c>
      <c r="D108" s="8">
        <v>197.67</v>
      </c>
      <c r="E108" s="8">
        <v>106.27419281005859</v>
      </c>
      <c r="F108" s="8">
        <v>-27.327205882352924</v>
      </c>
      <c r="G108" s="8">
        <v>5620692000</v>
      </c>
      <c r="H108" s="8">
        <v>1.8600000143051147</v>
      </c>
      <c r="I108" s="3">
        <f t="shared" si="2"/>
        <v>12.626380765428882</v>
      </c>
      <c r="J108" s="3">
        <f t="shared" si="3"/>
        <v>9.4096221628074544E-3</v>
      </c>
    </row>
    <row r="109" spans="1:10" s="3" customFormat="1" ht="12.75">
      <c r="A109" s="7" t="s">
        <v>221</v>
      </c>
      <c r="B109" s="7" t="s">
        <v>222</v>
      </c>
      <c r="C109" s="8">
        <v>68245160963</v>
      </c>
      <c r="D109" s="8">
        <v>1098.7</v>
      </c>
      <c r="E109" s="8">
        <v>33.723140716552734</v>
      </c>
      <c r="F109" s="8">
        <v>3.9885115492332091</v>
      </c>
      <c r="G109" s="8">
        <v>16401689999.999998</v>
      </c>
      <c r="H109" s="8">
        <v>32.580001831054688</v>
      </c>
      <c r="I109" s="3">
        <f t="shared" si="2"/>
        <v>4.1608615309154127</v>
      </c>
      <c r="J109" s="3">
        <f t="shared" si="3"/>
        <v>2.9653228576932575E-2</v>
      </c>
    </row>
    <row r="110" spans="1:10" s="3" customFormat="1" ht="12.75">
      <c r="A110" s="7" t="s">
        <v>223</v>
      </c>
      <c r="B110" s="7" t="s">
        <v>224</v>
      </c>
      <c r="C110" s="8">
        <v>67004370278.999992</v>
      </c>
      <c r="D110" s="8">
        <v>128.04</v>
      </c>
      <c r="E110" s="8">
        <v>196.984619140625</v>
      </c>
      <c r="F110" s="8">
        <v>-7.2509960159362734</v>
      </c>
      <c r="G110" s="8">
        <v>11153925000</v>
      </c>
      <c r="H110" s="8">
        <v>0.64999997615814209</v>
      </c>
      <c r="I110" s="3">
        <f t="shared" si="2"/>
        <v>6.007245904827224</v>
      </c>
      <c r="J110" s="3">
        <f t="shared" si="3"/>
        <v>5.0765384848961825E-3</v>
      </c>
    </row>
    <row r="111" spans="1:10" s="3" customFormat="1" ht="12.75">
      <c r="A111" s="7" t="s">
        <v>225</v>
      </c>
      <c r="B111" s="7" t="s">
        <v>226</v>
      </c>
      <c r="C111" s="8">
        <v>66829803304.715416</v>
      </c>
      <c r="D111" s="8">
        <v>405.45</v>
      </c>
      <c r="E111" s="8">
        <v>9.2505130767822266</v>
      </c>
      <c r="F111" s="8">
        <v>-14.964345637583865</v>
      </c>
      <c r="G111" s="8">
        <v>106468422000</v>
      </c>
      <c r="H111" s="8">
        <v>43.830001831054688</v>
      </c>
      <c r="I111" s="3">
        <f t="shared" si="2"/>
        <v>0.62769600647143442</v>
      </c>
      <c r="J111" s="3">
        <f t="shared" si="3"/>
        <v>0.10810211192608228</v>
      </c>
    </row>
    <row r="112" spans="1:10" s="3" customFormat="1" ht="12.75">
      <c r="A112" s="7" t="s">
        <v>227</v>
      </c>
      <c r="B112" s="7" t="s">
        <v>228</v>
      </c>
      <c r="C112" s="8">
        <v>65883788543</v>
      </c>
      <c r="D112" s="8">
        <v>9565</v>
      </c>
      <c r="E112" s="8">
        <v>150.89131164550781</v>
      </c>
      <c r="F112" s="8">
        <v>2.1133453013545189</v>
      </c>
      <c r="G112" s="8">
        <v>14038000000</v>
      </c>
      <c r="H112" s="8">
        <v>63.389999389648438</v>
      </c>
      <c r="I112" s="3">
        <f t="shared" si="2"/>
        <v>4.693246085126086</v>
      </c>
      <c r="J112" s="3">
        <f t="shared" si="3"/>
        <v>6.6272868138976841E-3</v>
      </c>
    </row>
    <row r="113" spans="1:10" s="3" customFormat="1" ht="12.75">
      <c r="A113" s="7" t="s">
        <v>229</v>
      </c>
      <c r="B113" s="7" t="s">
        <v>230</v>
      </c>
      <c r="C113" s="8">
        <v>65305234306.5</v>
      </c>
      <c r="D113" s="8">
        <v>906.85</v>
      </c>
      <c r="E113" s="8">
        <v>19.556825637817383</v>
      </c>
      <c r="F113" s="8">
        <v>-0.50469032859742358</v>
      </c>
      <c r="G113" s="8">
        <v>64222779000</v>
      </c>
      <c r="H113" s="8">
        <v>33.889999389648438</v>
      </c>
      <c r="I113" s="3">
        <f t="shared" si="2"/>
        <v>1.0168546942900119</v>
      </c>
      <c r="J113" s="3">
        <f t="shared" si="3"/>
        <v>5.1133042678781271E-2</v>
      </c>
    </row>
    <row r="114" spans="1:10" s="3" customFormat="1" ht="12.75">
      <c r="A114" s="7" t="s">
        <v>231</v>
      </c>
      <c r="B114" s="7" t="s">
        <v>232</v>
      </c>
      <c r="C114" s="8">
        <v>63995625053.500008</v>
      </c>
      <c r="D114" s="8">
        <v>446.55</v>
      </c>
      <c r="E114" s="8">
        <v>17.314849853515625</v>
      </c>
      <c r="F114" s="8">
        <v>-14.141511247837023</v>
      </c>
      <c r="G114" s="8">
        <v>35841000000</v>
      </c>
      <c r="H114" s="8">
        <v>23.610000610351563</v>
      </c>
      <c r="I114" s="3">
        <f t="shared" si="2"/>
        <v>1.7855423970731845</v>
      </c>
      <c r="J114" s="3">
        <f t="shared" si="3"/>
        <v>5.7753893822934825E-2</v>
      </c>
    </row>
    <row r="115" spans="1:10" s="3" customFormat="1" ht="12.75">
      <c r="A115" s="7" t="s">
        <v>233</v>
      </c>
      <c r="B115" s="7" t="s">
        <v>234</v>
      </c>
      <c r="C115" s="8">
        <v>63042886248</v>
      </c>
      <c r="D115" s="8">
        <v>1918</v>
      </c>
      <c r="E115" s="8">
        <v>18.574472427368164</v>
      </c>
      <c r="F115" s="8">
        <v>-16.30301972421012</v>
      </c>
      <c r="G115" s="8">
        <v>52202400000</v>
      </c>
      <c r="H115" s="8">
        <v>103.26000213623047</v>
      </c>
      <c r="I115" s="3">
        <f t="shared" si="2"/>
        <v>1.2076626026389592</v>
      </c>
      <c r="J115" s="3">
        <f t="shared" si="3"/>
        <v>5.383732991126957E-2</v>
      </c>
    </row>
    <row r="116" spans="1:10" s="3" customFormat="1" ht="12.75">
      <c r="A116" s="7" t="s">
        <v>235</v>
      </c>
      <c r="B116" s="7" t="s">
        <v>236</v>
      </c>
      <c r="C116" s="8">
        <v>61260919724.25</v>
      </c>
      <c r="D116" s="8">
        <v>496.2</v>
      </c>
      <c r="E116" s="8">
        <v>14.607006072998047</v>
      </c>
      <c r="F116" s="8">
        <v>-31.478284885728069</v>
      </c>
      <c r="G116" s="8">
        <v>24791100000</v>
      </c>
      <c r="H116" s="8">
        <v>33.970001220703125</v>
      </c>
      <c r="I116" s="3">
        <f t="shared" si="2"/>
        <v>2.47108517670656</v>
      </c>
      <c r="J116" s="3">
        <f t="shared" si="3"/>
        <v>6.846029877734916E-2</v>
      </c>
    </row>
    <row r="117" spans="1:10" s="3" customFormat="1" ht="12.75">
      <c r="A117" s="7" t="s">
        <v>237</v>
      </c>
      <c r="B117" s="7" t="s">
        <v>238</v>
      </c>
      <c r="C117" s="8">
        <v>61127390151.799988</v>
      </c>
      <c r="D117" s="8">
        <v>41.88</v>
      </c>
      <c r="E117" s="8">
        <v>53.210990905761719</v>
      </c>
      <c r="F117" s="8">
        <v>-25.240985362370594</v>
      </c>
      <c r="G117" s="8">
        <v>8457407999.999999</v>
      </c>
      <c r="H117" s="8">
        <v>0.78705546734952925</v>
      </c>
      <c r="I117" s="3">
        <f t="shared" si="2"/>
        <v>7.2276742651885773</v>
      </c>
      <c r="J117" s="3">
        <f t="shared" si="3"/>
        <v>1.8793109900378108E-2</v>
      </c>
    </row>
    <row r="118" spans="1:10" s="3" customFormat="1" ht="12.75">
      <c r="A118" s="7" t="s">
        <v>239</v>
      </c>
      <c r="B118" s="7" t="s">
        <v>240</v>
      </c>
      <c r="C118" s="8">
        <v>60629796714</v>
      </c>
      <c r="D118" s="8">
        <v>1397.3</v>
      </c>
      <c r="E118" s="8">
        <v>78.676803588867188</v>
      </c>
      <c r="F118" s="8">
        <v>5.5761239138647056</v>
      </c>
      <c r="G118" s="8">
        <v>10307237000</v>
      </c>
      <c r="H118" s="8">
        <v>17.760000228881836</v>
      </c>
      <c r="I118" s="3">
        <f t="shared" si="2"/>
        <v>5.8822550324592324</v>
      </c>
      <c r="J118" s="3">
        <f t="shared" si="3"/>
        <v>1.2710226577398736E-2</v>
      </c>
    </row>
    <row r="119" spans="1:10" s="3" customFormat="1" ht="12.75">
      <c r="A119" s="7" t="s">
        <v>241</v>
      </c>
      <c r="B119" s="7" t="s">
        <v>242</v>
      </c>
      <c r="C119" s="8">
        <v>59068302000</v>
      </c>
      <c r="D119" s="8">
        <v>304.64999999999998</v>
      </c>
      <c r="E119" s="8">
        <v>51.461147308349609</v>
      </c>
      <c r="F119" s="8">
        <v>-11.062687273343663</v>
      </c>
      <c r="G119" s="8">
        <v>10527857000</v>
      </c>
      <c r="H119" s="8">
        <v>5.9200000762939453</v>
      </c>
      <c r="I119" s="3">
        <f t="shared" si="2"/>
        <v>5.6106672041613024</v>
      </c>
      <c r="J119" s="3">
        <f t="shared" si="3"/>
        <v>1.9432135743264887E-2</v>
      </c>
    </row>
    <row r="120" spans="1:10" s="3" customFormat="1" ht="12.75">
      <c r="A120" s="7" t="s">
        <v>243</v>
      </c>
      <c r="B120" s="7" t="s">
        <v>244</v>
      </c>
      <c r="C120" s="8">
        <v>58614507793.800003</v>
      </c>
      <c r="D120" s="8">
        <v>4178.3</v>
      </c>
      <c r="E120" s="8">
        <v>49.6943359375</v>
      </c>
      <c r="F120" s="8">
        <v>5.0933145530459134</v>
      </c>
      <c r="G120" s="8">
        <v>23786960000</v>
      </c>
      <c r="H120" s="8">
        <v>84.080001831054688</v>
      </c>
      <c r="I120" s="3">
        <f t="shared" si="2"/>
        <v>2.4641445478447017</v>
      </c>
      <c r="J120" s="3">
        <f t="shared" si="3"/>
        <v>2.0123017666594613E-2</v>
      </c>
    </row>
    <row r="121" spans="1:10" s="3" customFormat="1" ht="12.75">
      <c r="A121" s="7" t="s">
        <v>245</v>
      </c>
      <c r="B121" s="7" t="s">
        <v>246</v>
      </c>
      <c r="C121" s="8">
        <v>57928694683.199997</v>
      </c>
      <c r="D121" s="8">
        <v>325.75</v>
      </c>
      <c r="E121" s="8">
        <v>27.35096549987793</v>
      </c>
      <c r="F121" s="8">
        <v>0.97644141351518332</v>
      </c>
      <c r="G121" s="8">
        <v>32280422000</v>
      </c>
      <c r="H121" s="8">
        <v>11.909999847412109</v>
      </c>
      <c r="I121" s="3">
        <f t="shared" si="2"/>
        <v>1.794545767809355</v>
      </c>
      <c r="J121" s="3">
        <f t="shared" si="3"/>
        <v>3.6561780607140291E-2</v>
      </c>
    </row>
    <row r="122" spans="1:10" s="3" customFormat="1" ht="12.75">
      <c r="A122" s="7" t="s">
        <v>247</v>
      </c>
      <c r="B122" s="7" t="s">
        <v>248</v>
      </c>
      <c r="C122" s="8">
        <v>55745146710</v>
      </c>
      <c r="D122" s="8">
        <v>916.05</v>
      </c>
      <c r="E122" s="8">
        <v>93.953842163085938</v>
      </c>
      <c r="F122" s="8">
        <v>25.908872242457505</v>
      </c>
      <c r="G122" s="8">
        <v>4298493000</v>
      </c>
      <c r="H122" s="8">
        <v>9.75</v>
      </c>
      <c r="I122" s="3">
        <f t="shared" si="2"/>
        <v>12.968532625271228</v>
      </c>
      <c r="J122" s="3">
        <f t="shared" si="3"/>
        <v>1.0643524277210407E-2</v>
      </c>
    </row>
    <row r="123" spans="1:10" s="3" customFormat="1" ht="12.75">
      <c r="A123" s="7" t="s">
        <v>249</v>
      </c>
      <c r="B123" s="7" t="s">
        <v>250</v>
      </c>
      <c r="C123" s="8">
        <v>55271991241.250008</v>
      </c>
      <c r="D123" s="8">
        <v>314.7</v>
      </c>
      <c r="E123" s="8">
        <v>62.440479278564453</v>
      </c>
      <c r="F123" s="8">
        <v>32.914033280165931</v>
      </c>
      <c r="G123" s="8">
        <v>40148314000</v>
      </c>
      <c r="H123" s="8">
        <v>5.0399999618530273</v>
      </c>
      <c r="I123" s="3">
        <f t="shared" si="2"/>
        <v>1.3766952017275247</v>
      </c>
      <c r="J123" s="3">
        <f t="shared" si="3"/>
        <v>1.6015251829485808E-2</v>
      </c>
    </row>
    <row r="124" spans="1:10" s="3" customFormat="1" ht="12.75">
      <c r="A124" s="7" t="s">
        <v>251</v>
      </c>
      <c r="B124" s="7" t="s">
        <v>252</v>
      </c>
      <c r="C124" s="8">
        <v>54536031360</v>
      </c>
      <c r="D124" s="8">
        <v>1730.2</v>
      </c>
      <c r="E124" s="8">
        <v>18.128665924072266</v>
      </c>
      <c r="F124" s="8">
        <v>-3.3137747974294918</v>
      </c>
      <c r="G124" s="8">
        <v>24193739000</v>
      </c>
      <c r="H124" s="8">
        <v>95.44000244140625</v>
      </c>
      <c r="I124" s="3">
        <f t="shared" si="2"/>
        <v>2.2541382032764758</v>
      </c>
      <c r="J124" s="3">
        <f t="shared" si="3"/>
        <v>5.5161256994213988E-2</v>
      </c>
    </row>
    <row r="125" spans="1:10" s="3" customFormat="1" ht="12.75">
      <c r="A125" s="7" t="s">
        <v>253</v>
      </c>
      <c r="B125" s="7" t="s">
        <v>254</v>
      </c>
      <c r="C125" s="8">
        <v>53885602800</v>
      </c>
      <c r="D125" s="8">
        <v>461.45</v>
      </c>
      <c r="E125" s="8">
        <v>20.301364898681641</v>
      </c>
      <c r="F125" s="8">
        <v>-22.288649376894554</v>
      </c>
      <c r="G125" s="8">
        <v>20739150000</v>
      </c>
      <c r="H125" s="8">
        <v>22.729999542236328</v>
      </c>
      <c r="I125" s="3">
        <f t="shared" si="2"/>
        <v>2.5982551261744091</v>
      </c>
      <c r="J125" s="3">
        <f t="shared" si="3"/>
        <v>4.9257771829170925E-2</v>
      </c>
    </row>
    <row r="126" spans="1:10" s="3" customFormat="1" ht="12.75">
      <c r="A126" s="7" t="s">
        <v>255</v>
      </c>
      <c r="B126" s="7" t="s">
        <v>256</v>
      </c>
      <c r="C126" s="8">
        <v>50544374359.732048</v>
      </c>
      <c r="D126" s="8">
        <v>641.65</v>
      </c>
      <c r="E126" s="8">
        <v>81.468101501464844</v>
      </c>
      <c r="F126" s="8">
        <v>-6.2463471654003344</v>
      </c>
      <c r="G126" s="8">
        <v>3646612000</v>
      </c>
      <c r="H126" s="8">
        <v>7.8760890960693359</v>
      </c>
      <c r="I126" s="3">
        <f t="shared" si="2"/>
        <v>13.860639508599228</v>
      </c>
      <c r="J126" s="3">
        <f t="shared" si="3"/>
        <v>1.2274742894088669E-2</v>
      </c>
    </row>
    <row r="127" spans="1:10" s="3" customFormat="1" ht="12.75">
      <c r="A127" s="7" t="s">
        <v>257</v>
      </c>
      <c r="B127" s="7" t="s">
        <v>258</v>
      </c>
      <c r="C127" s="8">
        <v>50337704225</v>
      </c>
      <c r="D127" s="8">
        <v>431.9</v>
      </c>
      <c r="E127" s="8">
        <v>22.448024749755859</v>
      </c>
      <c r="F127" s="8">
        <v>-28.599768556786241</v>
      </c>
      <c r="G127" s="8">
        <v>9064177000</v>
      </c>
      <c r="H127" s="8">
        <v>19.239999771118164</v>
      </c>
      <c r="I127" s="3">
        <f t="shared" ref="I127:I161" si="4">C127/G127</f>
        <v>5.5534776323322017</v>
      </c>
      <c r="J127" s="3">
        <f t="shared" ref="J127:J161" si="5">1/E127</f>
        <v>4.4547349316820216E-2</v>
      </c>
    </row>
    <row r="128" spans="1:10" s="3" customFormat="1" ht="12.75">
      <c r="A128" s="7" t="s">
        <v>259</v>
      </c>
      <c r="B128" s="7" t="s">
        <v>260</v>
      </c>
      <c r="C128" s="8">
        <v>49648893060.400002</v>
      </c>
      <c r="D128" s="8">
        <v>2200.5</v>
      </c>
      <c r="E128" s="8">
        <v>19.591346740722656</v>
      </c>
      <c r="F128" s="8">
        <v>-2.2651565622917369</v>
      </c>
      <c r="G128" s="8">
        <v>25955839000</v>
      </c>
      <c r="H128" s="8">
        <v>112.31999969482422</v>
      </c>
      <c r="I128" s="3">
        <f t="shared" si="4"/>
        <v>1.9128217377369308</v>
      </c>
      <c r="J128" s="3">
        <f t="shared" si="5"/>
        <v>5.1042943256238517E-2</v>
      </c>
    </row>
    <row r="129" spans="1:10" s="3" customFormat="1" ht="12.75">
      <c r="A129" s="7" t="s">
        <v>261</v>
      </c>
      <c r="B129" s="7" t="s">
        <v>262</v>
      </c>
      <c r="C129" s="8">
        <v>49580640749.500008</v>
      </c>
      <c r="D129" s="8">
        <v>345.75</v>
      </c>
      <c r="E129" s="8">
        <v>19.723331451416016</v>
      </c>
      <c r="F129" s="8">
        <v>-9.1565948502363881</v>
      </c>
      <c r="G129" s="8">
        <v>27159979000</v>
      </c>
      <c r="H129" s="8">
        <v>17.530000686645508</v>
      </c>
      <c r="I129" s="3">
        <f t="shared" si="4"/>
        <v>1.8255036481986973</v>
      </c>
      <c r="J129" s="3">
        <f t="shared" si="5"/>
        <v>5.070137377467264E-2</v>
      </c>
    </row>
    <row r="130" spans="1:10" s="3" customFormat="1" ht="12.75">
      <c r="A130" s="7" t="s">
        <v>263</v>
      </c>
      <c r="B130" s="7" t="s">
        <v>264</v>
      </c>
      <c r="C130" s="8">
        <v>48562631622.000008</v>
      </c>
      <c r="D130" s="8">
        <v>689.85</v>
      </c>
      <c r="E130" s="8">
        <v>22.865428924560547</v>
      </c>
      <c r="F130" s="8">
        <v>-29.650214154599219</v>
      </c>
      <c r="G130" s="8">
        <v>40986231000</v>
      </c>
      <c r="H130" s="8">
        <v>30.170000076293945</v>
      </c>
      <c r="I130" s="3">
        <f t="shared" si="4"/>
        <v>1.1848523378985496</v>
      </c>
      <c r="J130" s="3">
        <f t="shared" si="5"/>
        <v>4.3734145696513287E-2</v>
      </c>
    </row>
    <row r="131" spans="1:10" s="3" customFormat="1" ht="12.75">
      <c r="A131" s="7" t="s">
        <v>265</v>
      </c>
      <c r="B131" s="7" t="s">
        <v>266</v>
      </c>
      <c r="C131" s="8">
        <v>47770157914.650009</v>
      </c>
      <c r="D131" s="8">
        <v>178.19</v>
      </c>
      <c r="E131" s="8">
        <v>5.6052217483520508</v>
      </c>
      <c r="F131" s="8">
        <v>-29.19977749523197</v>
      </c>
      <c r="G131" s="8">
        <v>67686837000</v>
      </c>
      <c r="H131" s="8">
        <v>31.790000915527344</v>
      </c>
      <c r="I131" s="3">
        <f t="shared" si="4"/>
        <v>0.70575255148427174</v>
      </c>
      <c r="J131" s="3">
        <f t="shared" si="5"/>
        <v>0.17840507385706952</v>
      </c>
    </row>
    <row r="132" spans="1:10" s="3" customFormat="1" ht="12.75">
      <c r="A132" s="7" t="s">
        <v>267</v>
      </c>
      <c r="B132" s="7" t="s">
        <v>268</v>
      </c>
      <c r="C132" s="8">
        <v>47122414900.5</v>
      </c>
      <c r="D132" s="8">
        <v>275.39999999999998</v>
      </c>
      <c r="E132" s="8">
        <v>16.316751480102539</v>
      </c>
      <c r="F132" s="8">
        <v>2.4477345435606424</v>
      </c>
      <c r="G132" s="8">
        <v>34367320000</v>
      </c>
      <c r="H132" s="8">
        <v>16.878358840942383</v>
      </c>
      <c r="I132" s="3">
        <f t="shared" si="4"/>
        <v>1.3711402256707825</v>
      </c>
      <c r="J132" s="3">
        <f t="shared" si="5"/>
        <v>6.128670901309307E-2</v>
      </c>
    </row>
    <row r="133" spans="1:10" s="3" customFormat="1" ht="12.75">
      <c r="A133" s="7" t="s">
        <v>269</v>
      </c>
      <c r="B133" s="7" t="s">
        <v>270</v>
      </c>
      <c r="C133" s="8">
        <v>46748829766.949997</v>
      </c>
      <c r="D133" s="8">
        <v>271.75</v>
      </c>
      <c r="E133" s="8">
        <v>11.924089431762695</v>
      </c>
      <c r="F133" s="8">
        <v>-19.267615089271207</v>
      </c>
      <c r="G133" s="8">
        <v>24245320000</v>
      </c>
      <c r="H133" s="8">
        <v>22.790000915527344</v>
      </c>
      <c r="I133" s="3">
        <f t="shared" si="4"/>
        <v>1.9281589093049709</v>
      </c>
      <c r="J133" s="3">
        <f t="shared" si="5"/>
        <v>8.3863846017143931E-2</v>
      </c>
    </row>
    <row r="134" spans="1:10" s="3" customFormat="1" ht="12.75">
      <c r="A134" s="7" t="s">
        <v>271</v>
      </c>
      <c r="B134" s="7" t="s">
        <v>272</v>
      </c>
      <c r="C134" s="8">
        <v>45501107460.000008</v>
      </c>
      <c r="D134" s="8">
        <v>3797.6</v>
      </c>
      <c r="E134" s="8">
        <v>29.584005355834961</v>
      </c>
      <c r="F134" s="8">
        <v>-0.76822576430617406</v>
      </c>
      <c r="G134" s="8">
        <v>6231475000</v>
      </c>
      <c r="H134" s="8">
        <v>128.36666870117188</v>
      </c>
      <c r="I134" s="3">
        <f t="shared" si="4"/>
        <v>7.301819787450003</v>
      </c>
      <c r="J134" s="3">
        <f t="shared" si="5"/>
        <v>3.3802049045490938E-2</v>
      </c>
    </row>
    <row r="135" spans="1:10" s="3" customFormat="1" ht="12.75">
      <c r="A135" s="7" t="s">
        <v>273</v>
      </c>
      <c r="B135" s="7" t="s">
        <v>274</v>
      </c>
      <c r="C135" s="8">
        <v>45282552562</v>
      </c>
      <c r="D135" s="8">
        <v>5124</v>
      </c>
      <c r="E135" s="8">
        <v>47.620819091796875</v>
      </c>
      <c r="F135" s="8">
        <v>-18.17964071856283</v>
      </c>
      <c r="G135" s="8">
        <v>9898293000</v>
      </c>
      <c r="H135" s="8">
        <v>107.59999847412109</v>
      </c>
      <c r="I135" s="3">
        <f t="shared" si="4"/>
        <v>4.5747840119503431</v>
      </c>
      <c r="J135" s="3">
        <f t="shared" si="5"/>
        <v>2.0999218809578588E-2</v>
      </c>
    </row>
    <row r="136" spans="1:10" s="3" customFormat="1" ht="12.75">
      <c r="A136" s="7" t="s">
        <v>275</v>
      </c>
      <c r="B136" s="7" t="s">
        <v>276</v>
      </c>
      <c r="C136" s="8">
        <v>42238536235.5</v>
      </c>
      <c r="D136" s="8">
        <v>249.7</v>
      </c>
      <c r="E136" s="8">
        <v>18.286342620849609</v>
      </c>
      <c r="F136" s="8">
        <v>-5.2975940080528972</v>
      </c>
      <c r="G136" s="8">
        <v>31772921000</v>
      </c>
      <c r="H136" s="8">
        <v>13.654999732971191</v>
      </c>
      <c r="I136" s="3">
        <f t="shared" si="4"/>
        <v>1.3293878845920399</v>
      </c>
      <c r="J136" s="3">
        <f t="shared" si="5"/>
        <v>5.4685620888445245E-2</v>
      </c>
    </row>
    <row r="137" spans="1:10" s="3" customFormat="1" ht="12.75">
      <c r="A137" s="7" t="s">
        <v>277</v>
      </c>
      <c r="B137" s="7" t="s">
        <v>278</v>
      </c>
      <c r="C137" s="8">
        <v>40474450335.550003</v>
      </c>
      <c r="D137" s="8">
        <v>787.2</v>
      </c>
      <c r="E137" s="8">
        <v>60.312618255615234</v>
      </c>
      <c r="F137" s="8">
        <v>-13.313511727783256</v>
      </c>
      <c r="G137" s="8">
        <v>2270600000</v>
      </c>
      <c r="H137" s="8">
        <v>13.051995724439621</v>
      </c>
      <c r="I137" s="3">
        <f t="shared" si="4"/>
        <v>17.825442762067297</v>
      </c>
      <c r="J137" s="3">
        <f t="shared" si="5"/>
        <v>1.6580278371630765E-2</v>
      </c>
    </row>
    <row r="138" spans="1:10" s="3" customFormat="1" ht="12.75">
      <c r="A138" s="7" t="s">
        <v>279</v>
      </c>
      <c r="B138" s="7" t="s">
        <v>280</v>
      </c>
      <c r="C138" s="8">
        <v>40444586877.279991</v>
      </c>
      <c r="D138" s="8">
        <v>15.1</v>
      </c>
      <c r="E138" s="8">
        <v>28.977462768554688</v>
      </c>
      <c r="F138" s="8">
        <v>-20.274551214361157</v>
      </c>
      <c r="G138" s="8">
        <v>56033700000</v>
      </c>
      <c r="H138" s="8">
        <v>0.52109464508533476</v>
      </c>
      <c r="I138" s="3">
        <f t="shared" si="4"/>
        <v>0.72179040251277338</v>
      </c>
      <c r="J138" s="3">
        <f t="shared" si="5"/>
        <v>3.4509577597841463E-2</v>
      </c>
    </row>
    <row r="139" spans="1:10" s="3" customFormat="1" ht="12.75">
      <c r="A139" s="7" t="s">
        <v>281</v>
      </c>
      <c r="B139" s="7" t="s">
        <v>282</v>
      </c>
      <c r="C139" s="8">
        <v>39533347855.249992</v>
      </c>
      <c r="D139" s="8">
        <v>356.4</v>
      </c>
      <c r="E139" s="8">
        <v>26.341463088989258</v>
      </c>
      <c r="F139" s="8">
        <v>-18.078381795195941</v>
      </c>
      <c r="G139" s="8">
        <v>46244800000</v>
      </c>
      <c r="H139" s="8">
        <v>13.529999732971191</v>
      </c>
      <c r="I139" s="3">
        <f t="shared" si="4"/>
        <v>0.85487120401104544</v>
      </c>
      <c r="J139" s="3">
        <f t="shared" si="5"/>
        <v>3.7962963432278007E-2</v>
      </c>
    </row>
    <row r="140" spans="1:10" s="3" customFormat="1" ht="12.75">
      <c r="A140" s="7" t="s">
        <v>283</v>
      </c>
      <c r="B140" s="7" t="s">
        <v>284</v>
      </c>
      <c r="C140" s="8">
        <v>38652082833</v>
      </c>
      <c r="D140" s="8">
        <v>285.89999999999998</v>
      </c>
      <c r="E140" s="8">
        <v>348.65853881835938</v>
      </c>
      <c r="F140" s="8">
        <v>-12.487344219810447</v>
      </c>
      <c r="G140" s="8">
        <v>130860410000</v>
      </c>
      <c r="H140" s="8">
        <v>0.81999999284744263</v>
      </c>
      <c r="I140" s="3">
        <f t="shared" si="4"/>
        <v>0.29536880430834656</v>
      </c>
      <c r="J140" s="3">
        <f t="shared" si="5"/>
        <v>2.8681356934182815E-3</v>
      </c>
    </row>
    <row r="141" spans="1:10" s="3" customFormat="1" ht="12.75">
      <c r="A141" s="7" t="s">
        <v>285</v>
      </c>
      <c r="B141" s="7" t="s">
        <v>286</v>
      </c>
      <c r="C141" s="8">
        <v>38523845245.599991</v>
      </c>
      <c r="D141" s="8">
        <v>851.75</v>
      </c>
      <c r="E141" s="8">
        <v>72.304756164550781</v>
      </c>
      <c r="F141" s="8">
        <v>-22.883657763693922</v>
      </c>
      <c r="G141" s="8">
        <v>31744800000</v>
      </c>
      <c r="H141" s="8">
        <v>11.779999732971191</v>
      </c>
      <c r="I141" s="3">
        <f t="shared" si="4"/>
        <v>1.2135482109069828</v>
      </c>
      <c r="J141" s="3">
        <f t="shared" si="5"/>
        <v>1.3830348832436491E-2</v>
      </c>
    </row>
    <row r="142" spans="1:10" s="3" customFormat="1" ht="12.75">
      <c r="A142" s="7" t="s">
        <v>287</v>
      </c>
      <c r="B142" s="7" t="s">
        <v>288</v>
      </c>
      <c r="C142" s="8">
        <v>37520237819.999992</v>
      </c>
      <c r="D142" s="8">
        <v>382.45</v>
      </c>
      <c r="E142" s="8">
        <v>28.350631713867188</v>
      </c>
      <c r="F142" s="8">
        <v>-6.9804207710081894</v>
      </c>
      <c r="G142" s="8">
        <v>17937127000</v>
      </c>
      <c r="H142" s="8">
        <v>13.520000457763672</v>
      </c>
      <c r="I142" s="3">
        <f t="shared" si="4"/>
        <v>2.0917640723623125</v>
      </c>
      <c r="J142" s="3">
        <f t="shared" si="5"/>
        <v>3.527258263916809E-2</v>
      </c>
    </row>
    <row r="143" spans="1:10" s="3" customFormat="1" ht="12.75">
      <c r="A143" s="7" t="s">
        <v>289</v>
      </c>
      <c r="B143" s="7" t="s">
        <v>290</v>
      </c>
      <c r="C143" s="8">
        <v>36947465656.148804</v>
      </c>
      <c r="D143" s="8">
        <v>478.4</v>
      </c>
      <c r="E143" s="8">
        <v>9.2533845901489258</v>
      </c>
      <c r="F143" s="8">
        <v>-17.906477906477914</v>
      </c>
      <c r="G143" s="8">
        <v>56934877000</v>
      </c>
      <c r="H143" s="8">
        <v>51.700000762939453</v>
      </c>
      <c r="I143" s="3">
        <f t="shared" si="4"/>
        <v>0.64894257444604309</v>
      </c>
      <c r="J143" s="3">
        <f t="shared" si="5"/>
        <v>0.10806856564295311</v>
      </c>
    </row>
    <row r="144" spans="1:10" s="3" customFormat="1" ht="12.75">
      <c r="A144" s="7" t="s">
        <v>291</v>
      </c>
      <c r="B144" s="7" t="s">
        <v>292</v>
      </c>
      <c r="C144" s="8">
        <v>36769981940.450005</v>
      </c>
      <c r="D144" s="8">
        <v>88.91</v>
      </c>
      <c r="E144" s="8">
        <v>11.71409797668457</v>
      </c>
      <c r="F144" s="8">
        <v>-30.473881764153866</v>
      </c>
      <c r="G144" s="8">
        <v>11026338000</v>
      </c>
      <c r="H144" s="8">
        <v>7.5900001525878906</v>
      </c>
      <c r="I144" s="3">
        <f t="shared" si="4"/>
        <v>3.3347410482473876</v>
      </c>
      <c r="J144" s="3">
        <f t="shared" si="5"/>
        <v>8.5367221786122452E-2</v>
      </c>
    </row>
    <row r="145" spans="1:10" s="3" customFormat="1" ht="12.75">
      <c r="A145" s="7" t="s">
        <v>293</v>
      </c>
      <c r="B145" s="7" t="s">
        <v>294</v>
      </c>
      <c r="C145" s="8">
        <v>36467270470.873085</v>
      </c>
      <c r="D145" s="8">
        <v>88.44</v>
      </c>
      <c r="E145" s="8">
        <v>14.173077583312988</v>
      </c>
      <c r="F145" s="8">
        <v>-35.595688901835153</v>
      </c>
      <c r="G145" s="8">
        <v>50718724000</v>
      </c>
      <c r="H145" s="8">
        <v>6.2399997711181641</v>
      </c>
      <c r="I145" s="3">
        <f t="shared" si="4"/>
        <v>0.71901001434643907</v>
      </c>
      <c r="J145" s="3">
        <f t="shared" si="5"/>
        <v>7.0556306075497247E-2</v>
      </c>
    </row>
    <row r="146" spans="1:10" s="3" customFormat="1" ht="12.75">
      <c r="A146" s="7" t="s">
        <v>295</v>
      </c>
      <c r="B146" s="7" t="s">
        <v>296</v>
      </c>
      <c r="C146" s="8">
        <v>35482749003.700005</v>
      </c>
      <c r="D146" s="8">
        <v>159.99</v>
      </c>
      <c r="E146" s="8">
        <v>41.023078918457031</v>
      </c>
      <c r="F146" s="8">
        <v>-8.7824905491949536</v>
      </c>
      <c r="G146" s="8">
        <v>30936800000</v>
      </c>
      <c r="H146" s="8">
        <v>3.9000000953674316</v>
      </c>
      <c r="I146" s="3">
        <f t="shared" si="4"/>
        <v>1.1469430905491196</v>
      </c>
      <c r="J146" s="3">
        <f t="shared" si="5"/>
        <v>2.4376522347036262E-2</v>
      </c>
    </row>
    <row r="147" spans="1:10" s="3" customFormat="1" ht="12.75">
      <c r="A147" s="7" t="s">
        <v>297</v>
      </c>
      <c r="B147" s="7" t="s">
        <v>298</v>
      </c>
      <c r="C147" s="8">
        <v>34834241492.399994</v>
      </c>
      <c r="D147" s="8">
        <v>1206.0999999999999</v>
      </c>
      <c r="E147" s="8">
        <v>55.743427276611328</v>
      </c>
      <c r="F147" s="8">
        <v>-15.580597746202884</v>
      </c>
      <c r="G147" s="8">
        <v>27280800000</v>
      </c>
      <c r="H147" s="8">
        <v>21.636631011962891</v>
      </c>
      <c r="I147" s="3">
        <f t="shared" si="4"/>
        <v>1.2768775656285738</v>
      </c>
      <c r="J147" s="3">
        <f t="shared" si="5"/>
        <v>1.7939334713629587E-2</v>
      </c>
    </row>
    <row r="148" spans="1:10" s="3" customFormat="1" ht="12.75">
      <c r="A148" s="7" t="s">
        <v>299</v>
      </c>
      <c r="B148" s="7" t="s">
        <v>300</v>
      </c>
      <c r="C148" s="8">
        <v>34638405562.5</v>
      </c>
      <c r="D148" s="8">
        <v>1924.9</v>
      </c>
      <c r="E148" s="8">
        <v>14.394697189331055</v>
      </c>
      <c r="F148" s="8">
        <v>-1.4230234508201711</v>
      </c>
      <c r="G148" s="8">
        <v>29824200000</v>
      </c>
      <c r="H148" s="8">
        <v>133.72285461425781</v>
      </c>
      <c r="I148" s="3">
        <f t="shared" si="4"/>
        <v>1.1614194366487618</v>
      </c>
      <c r="J148" s="3">
        <f t="shared" si="5"/>
        <v>6.9470026833296075E-2</v>
      </c>
    </row>
    <row r="149" spans="1:10" s="3" customFormat="1" ht="12.75">
      <c r="A149" s="7" t="s">
        <v>301</v>
      </c>
      <c r="B149" s="7" t="s">
        <v>302</v>
      </c>
      <c r="C149" s="8">
        <v>33785661661.200001</v>
      </c>
      <c r="D149" s="8">
        <v>435.15</v>
      </c>
      <c r="E149" s="8">
        <v>34.756389617919922</v>
      </c>
      <c r="F149" s="8">
        <v>-6.9106139214246465</v>
      </c>
      <c r="G149" s="8">
        <v>5990100000</v>
      </c>
      <c r="H149" s="8">
        <v>12.520000457763672</v>
      </c>
      <c r="I149" s="3">
        <f t="shared" si="4"/>
        <v>5.6402500227375167</v>
      </c>
      <c r="J149" s="3">
        <f t="shared" si="5"/>
        <v>2.8771688054860956E-2</v>
      </c>
    </row>
    <row r="150" spans="1:10" s="3" customFormat="1" ht="12.75">
      <c r="A150" s="7" t="s">
        <v>303</v>
      </c>
      <c r="B150" s="7" t="s">
        <v>304</v>
      </c>
      <c r="C150" s="8">
        <v>33188495146</v>
      </c>
      <c r="D150" s="8">
        <v>115.82</v>
      </c>
      <c r="E150" s="8">
        <v>3.2515442371368408</v>
      </c>
      <c r="F150" s="8">
        <v>-28.848752918048902</v>
      </c>
      <c r="G150" s="8">
        <v>32159274000</v>
      </c>
      <c r="H150" s="8">
        <v>35.619998931884766</v>
      </c>
      <c r="I150" s="3">
        <f t="shared" si="4"/>
        <v>1.0320038675624332</v>
      </c>
      <c r="J150" s="3">
        <f t="shared" si="5"/>
        <v>0.30754617716059546</v>
      </c>
    </row>
    <row r="151" spans="1:10" s="3" customFormat="1" ht="12.75">
      <c r="A151" s="7" t="s">
        <v>305</v>
      </c>
      <c r="B151" s="7" t="s">
        <v>306</v>
      </c>
      <c r="C151" s="8">
        <v>32076636018.049999</v>
      </c>
      <c r="D151" s="8">
        <v>462.2</v>
      </c>
      <c r="E151" s="8">
        <v>16.194814682006836</v>
      </c>
      <c r="F151" s="8">
        <v>-16.997396067163496</v>
      </c>
      <c r="G151" s="8">
        <v>20445380000</v>
      </c>
      <c r="H151" s="8">
        <v>28.540000915527344</v>
      </c>
      <c r="I151" s="3">
        <f t="shared" si="4"/>
        <v>1.5688940982290376</v>
      </c>
      <c r="J151" s="3">
        <f t="shared" si="5"/>
        <v>6.174815949644949E-2</v>
      </c>
    </row>
    <row r="152" spans="1:10" s="3" customFormat="1" ht="12.75">
      <c r="A152" s="7" t="s">
        <v>307</v>
      </c>
      <c r="B152" s="7" t="s">
        <v>308</v>
      </c>
      <c r="C152" s="8">
        <v>31927327278.899998</v>
      </c>
      <c r="D152" s="8">
        <v>484.7</v>
      </c>
      <c r="E152" s="8">
        <v>6.2501611709594727</v>
      </c>
      <c r="F152" s="8">
        <v>-35.707653534951625</v>
      </c>
      <c r="G152" s="8">
        <v>47670560000</v>
      </c>
      <c r="H152" s="8">
        <v>77.550003051757813</v>
      </c>
      <c r="I152" s="3">
        <f t="shared" si="4"/>
        <v>0.66974936478405112</v>
      </c>
      <c r="J152" s="3">
        <f t="shared" si="5"/>
        <v>0.15999587412983277</v>
      </c>
    </row>
    <row r="153" spans="1:10" s="3" customFormat="1" ht="12.75">
      <c r="A153" s="7" t="s">
        <v>309</v>
      </c>
      <c r="B153" s="7" t="s">
        <v>310</v>
      </c>
      <c r="C153" s="8">
        <v>31926651469.409996</v>
      </c>
      <c r="D153" s="8">
        <v>114.9</v>
      </c>
      <c r="E153" s="8">
        <v>1.9038940668106079</v>
      </c>
      <c r="F153" s="8">
        <v>-31.793897661165904</v>
      </c>
      <c r="G153" s="8">
        <v>89738888000</v>
      </c>
      <c r="H153" s="8">
        <v>60.349998474121094</v>
      </c>
      <c r="I153" s="3">
        <f t="shared" si="4"/>
        <v>0.35577275561304034</v>
      </c>
      <c r="J153" s="3">
        <f t="shared" si="5"/>
        <v>0.5252393068671064</v>
      </c>
    </row>
    <row r="154" spans="1:10" s="3" customFormat="1" ht="12.75">
      <c r="A154" s="7" t="s">
        <v>311</v>
      </c>
      <c r="B154" s="7" t="s">
        <v>312</v>
      </c>
      <c r="C154" s="8">
        <v>31813973323.101074</v>
      </c>
      <c r="D154" s="8">
        <v>1714.8</v>
      </c>
      <c r="E154" s="8">
        <v>28.9417724609375</v>
      </c>
      <c r="F154" s="8">
        <v>-23.552226828942157</v>
      </c>
      <c r="G154" s="8">
        <v>7327860000</v>
      </c>
      <c r="H154" s="8">
        <v>59.25</v>
      </c>
      <c r="I154" s="3">
        <f t="shared" si="4"/>
        <v>4.3415094342824609</v>
      </c>
      <c r="J154" s="3">
        <f t="shared" si="5"/>
        <v>3.4552133990746171E-2</v>
      </c>
    </row>
    <row r="155" spans="1:10" s="3" customFormat="1" ht="12.75">
      <c r="A155" s="7" t="s">
        <v>313</v>
      </c>
      <c r="B155" s="7" t="s">
        <v>314</v>
      </c>
      <c r="C155" s="8">
        <v>31223855740.774841</v>
      </c>
      <c r="D155" s="8">
        <v>263.05</v>
      </c>
      <c r="E155" s="8">
        <v>25.464664459228516</v>
      </c>
      <c r="F155" s="8">
        <v>-28.625695292362007</v>
      </c>
      <c r="G155" s="8">
        <v>15713768000</v>
      </c>
      <c r="H155" s="8">
        <v>10.329999923706055</v>
      </c>
      <c r="I155" s="3">
        <f t="shared" si="4"/>
        <v>1.987038101922775</v>
      </c>
      <c r="J155" s="3">
        <f t="shared" si="5"/>
        <v>3.9270103150233944E-2</v>
      </c>
    </row>
    <row r="156" spans="1:10" s="3" customFormat="1" ht="12.75">
      <c r="A156" s="7" t="s">
        <v>315</v>
      </c>
      <c r="B156" s="7" t="s">
        <v>316</v>
      </c>
      <c r="C156" s="8">
        <v>29215418929.199997</v>
      </c>
      <c r="D156" s="8">
        <v>752.5</v>
      </c>
      <c r="E156" s="8">
        <v>22.584033966064453</v>
      </c>
      <c r="F156" s="8">
        <v>-8.4828215262997215</v>
      </c>
      <c r="G156" s="8">
        <v>17045670999.999998</v>
      </c>
      <c r="H156" s="8">
        <v>33.319999694824219</v>
      </c>
      <c r="I156" s="3">
        <f t="shared" si="4"/>
        <v>1.713949478973283</v>
      </c>
      <c r="J156" s="3">
        <f t="shared" si="5"/>
        <v>4.4279069076084213E-2</v>
      </c>
    </row>
    <row r="157" spans="1:10" s="3" customFormat="1" ht="12.75">
      <c r="A157" s="7" t="s">
        <v>317</v>
      </c>
      <c r="B157" s="7" t="s">
        <v>318</v>
      </c>
      <c r="C157" s="8">
        <v>27512593877.23</v>
      </c>
      <c r="D157" s="8">
        <v>206.17</v>
      </c>
      <c r="E157" s="8">
        <v>15.903499603271484</v>
      </c>
      <c r="F157" s="8">
        <v>-20.673335898422486</v>
      </c>
      <c r="G157" s="8">
        <v>24600773000</v>
      </c>
      <c r="H157" s="8">
        <v>12.963812828063965</v>
      </c>
      <c r="I157" s="3">
        <f t="shared" si="4"/>
        <v>1.1183629830343136</v>
      </c>
      <c r="J157" s="3">
        <f t="shared" si="5"/>
        <v>6.2879241987360543E-2</v>
      </c>
    </row>
    <row r="158" spans="1:10" s="3" customFormat="1" ht="12.75">
      <c r="A158" s="7" t="s">
        <v>319</v>
      </c>
      <c r="B158" s="7" t="s">
        <v>320</v>
      </c>
      <c r="C158" s="8">
        <v>26520445292.109993</v>
      </c>
      <c r="D158" s="8">
        <v>176.65</v>
      </c>
      <c r="E158" s="8">
        <v>57.353897094726563</v>
      </c>
      <c r="F158" s="8">
        <v>-12.029204066583098</v>
      </c>
      <c r="G158" s="8">
        <v>149671990000</v>
      </c>
      <c r="H158" s="8">
        <v>3.0799999237060547</v>
      </c>
      <c r="I158" s="3">
        <f t="shared" si="4"/>
        <v>0.1771904368486715</v>
      </c>
      <c r="J158" s="3">
        <f t="shared" si="5"/>
        <v>1.7435606831535527E-2</v>
      </c>
    </row>
    <row r="159" spans="1:10" s="3" customFormat="1" ht="12.75">
      <c r="A159" s="7" t="s">
        <v>321</v>
      </c>
      <c r="B159" s="7" t="s">
        <v>322</v>
      </c>
      <c r="C159" s="8">
        <v>25953865800.000004</v>
      </c>
      <c r="D159" s="8">
        <v>146.69</v>
      </c>
      <c r="E159" s="8">
        <v>12.473639488220215</v>
      </c>
      <c r="F159" s="8">
        <v>-28.760137924335872</v>
      </c>
      <c r="G159" s="8">
        <v>10660560000</v>
      </c>
      <c r="H159" s="8">
        <v>11.760000228881836</v>
      </c>
      <c r="I159" s="3">
        <f t="shared" si="4"/>
        <v>2.4345687093360953</v>
      </c>
      <c r="J159" s="3">
        <f t="shared" si="5"/>
        <v>8.016906380406251E-2</v>
      </c>
    </row>
    <row r="160" spans="1:10" s="3" customFormat="1" ht="12.75">
      <c r="A160" s="7" t="s">
        <v>323</v>
      </c>
      <c r="B160" s="7" t="s">
        <v>324</v>
      </c>
      <c r="C160" s="8">
        <v>25516810704.52</v>
      </c>
      <c r="D160" s="8">
        <v>55.08</v>
      </c>
      <c r="E160" s="8">
        <v>7.4231805801391602</v>
      </c>
      <c r="F160" s="8">
        <v>-4.628357124248927</v>
      </c>
      <c r="G160" s="8">
        <v>16805553000</v>
      </c>
      <c r="H160" s="8">
        <v>7.4200000762939453</v>
      </c>
      <c r="I160" s="3">
        <f t="shared" si="4"/>
        <v>1.5183559091759731</v>
      </c>
      <c r="J160" s="3">
        <f t="shared" si="5"/>
        <v>0.13471314475031312</v>
      </c>
    </row>
    <row r="161" spans="1:10" s="3" customFormat="1" ht="12.75">
      <c r="A161" s="7" t="s">
        <v>325</v>
      </c>
      <c r="B161" s="7" t="s">
        <v>326</v>
      </c>
      <c r="C161" s="8">
        <v>18389498878.600002</v>
      </c>
      <c r="D161" s="8">
        <v>10.78</v>
      </c>
      <c r="E161" s="8">
        <v>18.271186828613281</v>
      </c>
      <c r="F161" s="8">
        <v>-63.752521856086084</v>
      </c>
      <c r="G161" s="8">
        <v>50737150000</v>
      </c>
      <c r="H161" s="8">
        <v>0.5899999737739563</v>
      </c>
      <c r="I161" s="3">
        <f t="shared" si="4"/>
        <v>0.36244642985662384</v>
      </c>
      <c r="J161" s="3">
        <f t="shared" si="5"/>
        <v>5.4730982140359215E-2</v>
      </c>
    </row>
    <row r="163" spans="1:10" ht="60" customHeight="1">
      <c r="A163" s="9" t="s">
        <v>327</v>
      </c>
      <c r="B163" s="9"/>
      <c r="C163" s="9"/>
      <c r="D163" s="9"/>
      <c r="E163" s="9"/>
      <c r="F163" s="9"/>
      <c r="G163" s="9"/>
      <c r="H163" s="9"/>
    </row>
  </sheetData>
  <mergeCells count="1">
    <mergeCell ref="A163:H16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id:69c62a1ab2280000 on NXPGR-TT-164</cp:keywords>
  <cp:lastModifiedBy>user4</cp:lastModifiedBy>
  <dcterms:modified xsi:type="dcterms:W3CDTF">2026-03-27T09:16:41Z</dcterms:modified>
</cp:coreProperties>
</file>