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nanj\Downloads\"/>
    </mc:Choice>
  </mc:AlternateContent>
  <xr:revisionPtr revIDLastSave="0" documentId="13_ncr:1_{D1CD0E35-9BC7-4773-A8B1-45B186F03051}" xr6:coauthVersionLast="47" xr6:coauthVersionMax="47" xr10:uidLastSave="{00000000-0000-0000-0000-000000000000}"/>
  <bookViews>
    <workbookView xWindow="-108" yWindow="-108" windowWidth="30936" windowHeight="18696"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66"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3"/>
  <c r="AF6" i="3" s="1"/>
  <c r="AF4" i="3"/>
  <c r="AF3" i="3"/>
  <c r="AF2" i="3"/>
  <c r="AF7" i="3" l="1"/>
</calcChain>
</file>

<file path=xl/sharedStrings.xml><?xml version="1.0" encoding="utf-8"?>
<sst xmlns="http://schemas.openxmlformats.org/spreadsheetml/2006/main" count="3406" uniqueCount="938">
  <si>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</si>
  <si>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</si>
  <si>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</si>
  <si>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</si>
  <si>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</si>
  <si>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</si>
  <si>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</si>
  <si>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</si>
  <si>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</si>
  <si>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</si>
  <si>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</si>
  <si>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</si>
  <si>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</si>
  <si>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</si>
  <si>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</si>
  <si>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</si>
  <si>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</si>
  <si>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</si>
  <si>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</si>
  <si>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</si>
  <si>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</si>
  <si>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</si>
  <si>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</si>
  <si>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</si>
  <si>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</si>
  <si>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</si>
  <si>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</si>
  <si>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</si>
  <si>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</si>
  <si>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</si>
  <si>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</si>
  <si>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</si>
  <si>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</si>
  <si>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</si>
  <si>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</si>
  <si>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</si>
  <si>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</si>
  <si>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</si>
  <si>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</si>
  <si>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</si>
  <si>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</si>
  <si>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</si>
  <si>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</si>
  <si>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</si>
  <si>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</si>
  <si>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</si>
  <si>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</si>
  <si>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</si>
  <si>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</si>
  <si>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</si>
  <si>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</si>
  <si>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</si>
  <si>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</si>
  <si>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</si>
  <si>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</si>
  <si>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</si>
  <si>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</si>
  <si>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</si>
  <si>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</si>
  <si>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</si>
  <si>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</si>
  <si>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</si>
  <si>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</si>
  <si>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</si>
  <si>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</si>
  <si>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</si>
  <si>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</si>
  <si>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</si>
  <si>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</si>
  <si>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</si>
  <si>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</si>
  <si>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</si>
  <si>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</si>
  <si>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</si>
  <si>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</si>
  <si>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</si>
  <si>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</si>
  <si>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</si>
  <si>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</si>
  <si>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</si>
  <si>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</si>
  <si>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</si>
  <si>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</si>
  <si>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</si>
  <si>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</si>
  <si>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</si>
  <si>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</si>
  <si>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</si>
  <si>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</si>
  <si>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</si>
  <si>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</si>
  <si>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</si>
  <si>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</si>
  <si>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</si>
  <si>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</si>
  <si>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</si>
  <si>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</si>
  <si>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</si>
  <si>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</si>
  <si>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</si>
  <si>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</si>
  <si>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</si>
  <si>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</si>
  <si>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</si>
  <si>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</si>
  <si>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</si>
  <si>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</si>
  <si>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</si>
  <si>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</si>
  <si>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</si>
  <si>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</si>
  <si>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</si>
  <si>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</si>
  <si>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</si>
  <si>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</si>
  <si>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</si>
  <si>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</si>
  <si>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</si>
  <si>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</si>
  <si>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</si>
  <si>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</si>
  <si>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</si>
  <si>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</si>
  <si>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</si>
  <si>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</si>
  <si>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</si>
  <si>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</si>
  <si>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</si>
  <si>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</si>
  <si>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</si>
  <si>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</si>
  <si>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</si>
  <si>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</si>
  <si>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</si>
  <si>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</si>
  <si>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</si>
  <si>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</si>
  <si>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</si>
  <si>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</si>
  <si>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</si>
  <si>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</si>
  <si>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</si>
  <si>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</si>
  <si>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</si>
  <si>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</si>
  <si>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</si>
  <si>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</si>
  <si>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</si>
  <si>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</si>
  <si>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</si>
  <si>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</si>
  <si>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</si>
  <si>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</si>
  <si>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</si>
  <si>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</si>
  <si>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</si>
  <si>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</si>
  <si>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</si>
  <si>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</si>
  <si>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</si>
  <si>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</si>
  <si>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</si>
  <si>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</si>
  <si>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</si>
  <si>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</si>
  <si>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</si>
  <si>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</si>
  <si>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</si>
  <si>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</si>
  <si>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</si>
  <si>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</si>
  <si>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</si>
  <si>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</si>
  <si>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</si>
  <si>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</si>
  <si>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</si>
  <si>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</si>
  <si>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</si>
  <si>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</si>
  <si>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</si>
  <si>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</si>
  <si>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</si>
  <si>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</si>
  <si>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</si>
  <si>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</si>
  <si>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</si>
  <si>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</si>
  <si>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</si>
  <si>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</si>
  <si>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</si>
  <si>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</si>
  <si>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</si>
  <si>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</si>
  <si>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</si>
  <si>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</si>
  <si>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</si>
  <si>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</si>
  <si>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</si>
  <si>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</si>
  <si>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</si>
  <si>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</si>
  <si>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</si>
  <si>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</si>
  <si>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</si>
  <si>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</si>
  <si>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</si>
  <si>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</si>
  <si>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</si>
  <si>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</si>
  <si>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</si>
  <si>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</si>
  <si>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</si>
  <si>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</si>
  <si>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</si>
  <si>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</si>
  <si>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</si>
  <si>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</si>
  <si>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</si>
  <si>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</si>
  <si>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</si>
  <si>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</si>
  <si>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</si>
  <si>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</si>
  <si>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</si>
  <si>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</si>
  <si>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</si>
  <si>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</si>
  <si>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</si>
  <si>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</si>
  <si>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</si>
  <si>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</si>
  <si>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</si>
  <si>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</si>
  <si>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</si>
  <si>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</si>
  <si>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</si>
  <si>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</si>
  <si>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</si>
  <si>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</si>
  <si>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</si>
  <si>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</si>
  <si>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</si>
  <si>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</si>
  <si>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</si>
  <si>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</si>
  <si>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</si>
  <si>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</si>
  <si>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</si>
  <si>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</si>
  <si>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</si>
  <si>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</si>
  <si>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</si>
  <si>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</si>
  <si>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</si>
  <si>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</si>
  <si>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</si>
  <si>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</si>
  <si>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</si>
  <si>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</si>
  <si>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</si>
  <si>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</si>
  <si>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</si>
  <si>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</si>
  <si>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</si>
  <si>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</si>
  <si>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</si>
  <si>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</si>
  <si>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</si>
  <si>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</si>
  <si>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</si>
  <si>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</si>
  <si>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</si>
  <si>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</si>
  <si>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</si>
  <si>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</si>
  <si>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</si>
  <si>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</si>
  <si>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</si>
  <si>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</si>
  <si>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</si>
  <si>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</si>
  <si>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</si>
  <si>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</si>
  <si>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</si>
  <si>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</si>
  <si>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</si>
  <si>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</si>
  <si>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</si>
  <si>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</si>
  <si>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</si>
  <si>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</si>
  <si>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</si>
  <si>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</si>
  <si>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</si>
  <si>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</si>
  <si>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</si>
  <si>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</si>
  <si>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</si>
  <si>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</si>
  <si>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</si>
  <si>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</si>
  <si>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</si>
  <si>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</si>
  <si>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</si>
  <si>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</si>
  <si>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</si>
  <si>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</si>
  <si>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</si>
  <si>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</si>
  <si>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</si>
  <si>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</si>
  <si>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</si>
  <si>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</si>
  <si>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</si>
  <si>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</si>
  <si>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</si>
  <si>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</si>
  <si>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</si>
  <si>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</si>
  <si>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</si>
  <si>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</si>
  <si>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</si>
  <si>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</si>
  <si>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</si>
  <si>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</si>
  <si>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</si>
  <si>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</si>
  <si>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</si>
  <si>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</si>
  <si>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</si>
  <si>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</si>
  <si>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</si>
  <si>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</si>
  <si>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</si>
  <si>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</si>
  <si>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</si>
  <si>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</si>
  <si>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</si>
  <si>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</si>
  <si>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</si>
  <si>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</si>
  <si>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</si>
  <si>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</si>
  <si>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</si>
  <si>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</si>
  <si>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</si>
  <si>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</si>
  <si>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</si>
  <si>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</si>
  <si>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</si>
  <si>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</si>
  <si>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</si>
  <si>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</si>
  <si>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</si>
  <si>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</si>
  <si>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</si>
  <si>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</si>
  <si>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</si>
  <si>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</si>
  <si>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</si>
  <si>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</si>
  <si>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</si>
  <si>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</si>
  <si>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</si>
  <si>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</si>
  <si>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</si>
  <si>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</si>
  <si>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</si>
  <si>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</si>
  <si>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</si>
  <si>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</si>
  <si>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</si>
  <si>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</si>
  <si>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</si>
  <si>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</si>
  <si>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</si>
  <si>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</si>
  <si>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</si>
  <si>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</si>
  <si>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</si>
  <si>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</si>
  <si>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</si>
  <si>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</si>
  <si>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</si>
  <si>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</si>
  <si>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</si>
  <si>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</si>
  <si>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</si>
  <si>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</si>
  <si>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</si>
  <si>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</si>
  <si>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</si>
  <si>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</si>
  <si>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</si>
  <si>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</si>
  <si>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</si>
  <si>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</si>
  <si>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</si>
  <si>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</si>
  <si>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</si>
  <si>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</si>
  <si>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</si>
  <si>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</si>
  <si>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</si>
  <si>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</si>
  <si>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</si>
  <si>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</si>
  <si>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</si>
  <si>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</si>
  <si>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</si>
  <si>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</si>
  <si>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</si>
  <si>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</si>
  <si>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</si>
  <si>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</si>
  <si>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</si>
  <si>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</si>
  <si>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</si>
  <si>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</si>
  <si>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</si>
  <si>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</si>
  <si>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</si>
  <si>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</si>
  <si>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</si>
  <si>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</si>
  <si>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</si>
  <si>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</si>
  <si>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</si>
  <si>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</si>
  <si>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</si>
  <si>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</si>
  <si>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</si>
  <si>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</si>
  <si>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</si>
  <si>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</si>
  <si>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</si>
  <si>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</si>
  <si>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</si>
  <si>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</si>
  <si>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</si>
  <si>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</si>
  <si>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</si>
  <si>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</si>
  <si>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</si>
  <si>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</si>
  <si>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</si>
  <si>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</si>
  <si>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</si>
  <si>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</si>
  <si>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</si>
  <si>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</si>
  <si>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</si>
  <si>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</si>
  <si>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</si>
  <si>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</si>
  <si>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</si>
  <si>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</si>
  <si>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</si>
  <si>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</si>
  <si>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</si>
  <si>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</si>
  <si>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</si>
  <si>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</si>
  <si>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</si>
  <si>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</si>
  <si>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</si>
  <si>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</si>
  <si>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</si>
  <si>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</si>
  <si>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</si>
  <si>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</si>
  <si>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</si>
  <si>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</si>
  <si>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</si>
  <si>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</si>
  <si>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</si>
  <si>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</si>
  <si>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</si>
  <si>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</si>
  <si>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</si>
  <si>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</si>
  <si>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</si>
  <si>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</si>
  <si>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</si>
  <si>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</si>
  <si>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</si>
  <si>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</si>
  <si>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</si>
  <si>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</si>
  <si>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</si>
  <si>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</si>
  <si>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</si>
  <si>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</si>
  <si>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</si>
  <si>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</si>
  <si>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</si>
  <si>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</si>
  <si>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</si>
  <si>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</si>
  <si>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</si>
  <si>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</si>
  <si>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</si>
  <si>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</si>
  <si>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</si>
  <si>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</si>
  <si>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</si>
  <si>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</si>
  <si>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</si>
  <si>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</si>
  <si>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</si>
  <si>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</si>
  <si>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</si>
  <si>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</si>
  <si>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</si>
  <si>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</si>
  <si>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</si>
  <si>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</si>
  <si>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</si>
  <si>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</si>
  <si>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</si>
  <si>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</si>
  <si>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</si>
  <si>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</si>
  <si>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</si>
  <si>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</si>
  <si>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</si>
  <si>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</si>
  <si>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</si>
  <si>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</si>
  <si>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</si>
  <si>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</si>
  <si>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</si>
  <si>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</si>
  <si>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</si>
  <si>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</si>
  <si>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</si>
  <si>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</si>
  <si>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</si>
  <si>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</si>
  <si>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</si>
  <si>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</si>
  <si>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</si>
  <si>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</si>
  <si>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</si>
  <si>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</si>
  <si>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</si>
  <si>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</si>
  <si>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</si>
  <si>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</si>
  <si>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</si>
  <si>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</si>
  <si>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</si>
  <si>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</si>
  <si>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</si>
  <si>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</si>
  <si>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</si>
  <si>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</si>
  <si>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</si>
  <si>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</si>
  <si>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</si>
  <si>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</si>
  <si>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</si>
  <si>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</si>
  <si>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</si>
  <si>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</si>
  <si>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</si>
  <si>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</si>
  <si>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</si>
  <si>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</si>
  <si>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</si>
  <si>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</si>
  <si>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</si>
  <si>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</si>
  <si>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</si>
  <si>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</si>
  <si>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</si>
  <si>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</si>
  <si>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</si>
  <si>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</si>
  <si>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</si>
  <si>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</si>
  <si>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</si>
  <si>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</si>
  <si>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</si>
  <si>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</si>
  <si>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</si>
  <si>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</si>
  <si>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</si>
  <si>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</si>
  <si>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</si>
  <si>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</si>
  <si>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</si>
  <si>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</si>
  <si>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</si>
  <si>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</si>
  <si>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</si>
  <si>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</si>
  <si>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</si>
  <si>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</si>
  <si>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</si>
  <si>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</si>
  <si>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</si>
  <si>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</si>
  <si>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</si>
  <si>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</si>
  <si>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</si>
  <si>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</si>
  <si>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</si>
  <si>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</si>
  <si>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</si>
  <si>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</si>
  <si>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</si>
  <si>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</si>
  <si>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</si>
  <si>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</si>
  <si>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</si>
  <si>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</si>
  <si>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</si>
  <si>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</si>
  <si>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</si>
  <si>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</si>
  <si>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</si>
  <si>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</si>
  <si>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</si>
  <si>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</si>
  <si>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</si>
  <si>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</si>
  <si>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</si>
  <si>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</si>
  <si>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</si>
  <si>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</si>
  <si>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</si>
  <si>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</si>
  <si>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</si>
  <si>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</si>
  <si>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</si>
  <si>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</si>
  <si>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</si>
  <si>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</si>
  <si>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</si>
  <si>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</si>
  <si>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</si>
  <si>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</si>
  <si>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</si>
  <si>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</si>
  <si>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</si>
  <si>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</si>
  <si>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</si>
  <si>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</si>
  <si>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</si>
  <si>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</si>
  <si>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</si>
  <si>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</si>
  <si>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</si>
  <si>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</si>
  <si>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</si>
  <si>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</si>
  <si>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</si>
  <si>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</si>
  <si>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</si>
  <si>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</si>
  <si>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</si>
  <si>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</si>
  <si>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</si>
  <si>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</si>
  <si>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</si>
  <si>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</si>
  <si>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</si>
  <si>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</si>
  <si>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</si>
  <si>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</si>
  <si>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</si>
  <si>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</si>
  <si>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</si>
  <si>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</si>
  <si>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</si>
  <si>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</si>
  <si>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</si>
  <si>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</si>
  <si>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</si>
  <si>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</si>
  <si>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</si>
  <si>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</si>
  <si>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</si>
  <si>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</si>
  <si>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</si>
  <si>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</si>
  <si>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</si>
  <si>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</si>
  <si>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</si>
  <si>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</si>
  <si>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</si>
  <si>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</si>
  <si>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</si>
  <si>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</si>
  <si>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</si>
  <si>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</si>
  <si>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</si>
  <si>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</si>
  <si>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</si>
  <si>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</si>
  <si>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</si>
  <si>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</si>
  <si>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</si>
  <si>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</si>
  <si>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</si>
  <si>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</si>
  <si>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</si>
  <si>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</si>
  <si>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</si>
  <si>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</si>
  <si>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</si>
  <si>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</si>
  <si>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</si>
  <si>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</si>
  <si>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</si>
  <si>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</si>
  <si>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</si>
  <si>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</si>
  <si>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</si>
  <si>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</si>
  <si>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</si>
  <si>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</si>
  <si>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</si>
  <si>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</si>
  <si>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</si>
  <si>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</si>
  <si>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</si>
  <si>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</si>
  <si>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</si>
  <si>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</si>
  <si>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</si>
  <si>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</si>
  <si>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</si>
  <si>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</si>
  <si>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</si>
  <si>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</si>
  <si>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</si>
  <si>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</si>
  <si>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</si>
  <si>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</si>
  <si>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</si>
  <si>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</si>
  <si>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</si>
  <si>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</si>
  <si>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</si>
  <si>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</si>
  <si>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</si>
  <si>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</si>
  <si>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</si>
  <si>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</si>
  <si>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</si>
  <si>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</si>
  <si>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</si>
  <si>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</si>
  <si>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</si>
  <si>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</si>
  <si>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</si>
  <si>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</si>
  <si>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</si>
  <si>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</si>
  <si>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</si>
  <si>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</si>
  <si>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</si>
  <si>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</si>
  <si>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</si>
  <si>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</si>
  <si>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</si>
  <si>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</si>
  <si>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</si>
  <si>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</si>
  <si>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</si>
  <si>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</si>
  <si>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</si>
  <si>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</si>
  <si>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</si>
  <si>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</si>
  <si>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</si>
  <si>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</si>
  <si>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</si>
  <si>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</si>
  <si>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</si>
  <si>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</si>
  <si>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</si>
  <si>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</si>
  <si>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</si>
  <si>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</si>
  <si>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</si>
  <si>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</si>
  <si>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</si>
  <si>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</si>
  <si>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</si>
  <si>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</si>
  <si>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</si>
  <si>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</si>
  <si>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</si>
  <si>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</si>
  <si>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</si>
  <si>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</si>
  <si>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</si>
  <si>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</si>
  <si>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</si>
  <si>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</si>
  <si>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</si>
  <si>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</si>
  <si>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</si>
  <si>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</si>
  <si>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</si>
  <si>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</si>
  <si>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</si>
  <si>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</si>
  <si>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</si>
  <si>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</si>
  <si>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</si>
  <si>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</si>
  <si>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</si>
  <si>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</si>
  <si>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</si>
  <si>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</si>
  <si>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</si>
  <si>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</si>
  <si>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</si>
  <si>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</si>
  <si>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</si>
  <si>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</si>
  <si>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</si>
  <si>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</si>
  <si>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</si>
  <si>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</si>
  <si>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</si>
  <si>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</si>
  <si>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</si>
  <si>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</si>
  <si>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</si>
  <si>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</si>
  <si>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</si>
  <si>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</si>
  <si>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</si>
  <si>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</si>
  <si>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</si>
  <si>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</si>
  <si>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</si>
  <si>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</si>
  <si>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</si>
  <si>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</si>
  <si>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</si>
  <si>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</si>
  <si>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</si>
  <si>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</si>
  <si>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</si>
  <si>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</si>
  <si>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</si>
  <si>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</si>
  <si>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</si>
  <si>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</si>
  <si>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</si>
  <si>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</si>
  <si>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</si>
  <si>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</si>
  <si>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</si>
  <si>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</si>
  <si>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</si>
  <si>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</si>
  <si>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</si>
  <si>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</si>
  <si>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</si>
  <si>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</si>
  <si>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</si>
  <si>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</si>
  <si>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</si>
  <si>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</si>
  <si>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</si>
  <si>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</si>
  <si>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</si>
  <si>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</si>
  <si>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</si>
  <si>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</si>
  <si>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</si>
  <si>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</si>
  <si>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</si>
  <si>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</si>
  <si>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</si>
  <si>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</si>
  <si>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</si>
  <si>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</si>
  <si>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</si>
  <si>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</si>
  <si>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</si>
  <si>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</si>
  <si>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</si>
  <si>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</si>
  <si>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</si>
  <si>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</si>
  <si>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</si>
  <si>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</si>
  <si>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</si>
  <si>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</si>
  <si>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</si>
  <si>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</si>
  <si>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</si>
  <si>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</si>
  <si>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</si>
  <si>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</si>
  <si>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</si>
  <si>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</si>
  <si>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</si>
  <si>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</si>
  <si>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</si>
  <si>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</si>
  <si>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</si>
  <si>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</si>
  <si>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</si>
  <si>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</si>
  <si>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</si>
  <si>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</si>
  <si>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</si>
  <si>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</si>
  <si>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</si>
  <si>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</si>
  <si>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</si>
  <si>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</si>
  <si>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</si>
  <si>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Feb</t>
  </si>
  <si>
    <t>Mar</t>
  </si>
  <si>
    <t>Apr</t>
  </si>
  <si>
    <t>May</t>
  </si>
  <si>
    <t>Jun</t>
  </si>
  <si>
    <t>Jul</t>
  </si>
  <si>
    <t>Aug</t>
  </si>
  <si>
    <t>Sep</t>
  </si>
  <si>
    <t>Oct</t>
  </si>
  <si>
    <t>Nov</t>
  </si>
  <si>
    <t>Dec</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</si>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</sst>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family val="2"/>
      <scheme val="minor"/>
    </font>
    <font>
      <sz val="10"/>
      <color theme="1"/>
      <name val="Aptos"/>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2" fillId="0" borderId="0" xfId="0" pivotButton="1" applyFont="1"/>
    <xf numFmtId="0" fontId="2" fillId="0" borderId="0" xfId="0" applyFont="1"/>
    <xf numFmtId="165" fontId="2" fillId="0" borderId="0" xfId="0" applyNumberFormat="1" applyFont="1"/>
    <xf numFmtId="0" fontId="0" fillId="0" borderId="0" xfId="0" applyNumberForma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695">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C0CE-4DB0-BF2D-B8E4520DD5EF}"/>
            </c:ext>
          </c:extLst>
        </c:ser>
        <c:dLbls>
          <c:showLegendKey val="0"/>
          <c:showVal val="0"/>
          <c:showCatName val="0"/>
          <c:showSerName val="0"/>
          <c:showPercent val="0"/>
          <c:showBubbleSize val="0"/>
        </c:dLbls>
        <c:gapWidth val="150"/>
        <c:axId val="907410239"/>
        <c:axId val="907403519"/>
      </c:barChart>
      <c:catAx>
        <c:axId val="907410239"/>
        <c:scaling>
          <c:orientation val="minMax"/>
        </c:scaling>
        <c:delete val="0"/>
        <c:axPos val="b"/>
        <c:numFmt formatCode="General" sourceLinked="1"/>
        <c:majorTickMark val="out"/>
        <c:minorTickMark val="none"/>
        <c:tickLblPos val="nextTo"/>
        <c:spPr>
          <a:ln>
            <a:solidFill>
              <a:srgbClr val="D2D2D2"/>
            </a:solidFill>
          </a:ln>
        </c:spPr>
        <c:crossAx val="907403519"/>
        <c:crosses val="autoZero"/>
        <c:auto val="1"/>
        <c:lblAlgn val="ctr"/>
        <c:lblOffset val="100"/>
        <c:noMultiLvlLbl val="0"/>
      </c:catAx>
      <c:valAx>
        <c:axId val="907403519"/>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907410239"/>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807114343426194E-2"/>
          <c:y val="0.14098765432098764"/>
          <c:w val="0.2801372693189886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F3C0-46A5-8F02-366A6D78349D}"/>
              </c:ext>
            </c:extLst>
          </c:dPt>
          <c:dPt>
            <c:idx val="1"/>
            <c:bubble3D val="0"/>
            <c:spPr>
              <a:solidFill>
                <a:srgbClr val="84C637"/>
              </a:solidFill>
              <a:ln>
                <a:solidFill>
                  <a:srgbClr val="FFFFFF"/>
                </a:solidFill>
              </a:ln>
            </c:spPr>
            <c:extLst>
              <c:ext xmlns:c16="http://schemas.microsoft.com/office/drawing/2014/chart" uri="{C3380CC4-5D6E-409C-BE32-E72D297353CC}">
                <c16:uniqueId val="{00000002-F3C0-46A5-8F02-366A6D78349D}"/>
              </c:ext>
            </c:extLst>
          </c:dPt>
          <c:dPt>
            <c:idx val="2"/>
            <c:bubble3D val="0"/>
            <c:spPr>
              <a:solidFill>
                <a:srgbClr val="5DB13A"/>
              </a:solidFill>
              <a:ln>
                <a:solidFill>
                  <a:srgbClr val="FFFFFF"/>
                </a:solidFill>
              </a:ln>
            </c:spPr>
            <c:extLst>
              <c:ext xmlns:c16="http://schemas.microsoft.com/office/drawing/2014/chart" uri="{C3380CC4-5D6E-409C-BE32-E72D297353CC}">
                <c16:uniqueId val="{00000003-F3C0-46A5-8F02-366A6D78349D}"/>
              </c:ext>
            </c:extLst>
          </c:dPt>
          <c:dPt>
            <c:idx val="3"/>
            <c:bubble3D val="0"/>
            <c:spPr>
              <a:solidFill>
                <a:srgbClr val="168A96"/>
              </a:solidFill>
              <a:ln>
                <a:solidFill>
                  <a:srgbClr val="FFFFFF"/>
                </a:solidFill>
              </a:ln>
            </c:spPr>
            <c:extLst>
              <c:ext xmlns:c16="http://schemas.microsoft.com/office/drawing/2014/chart" uri="{C3380CC4-5D6E-409C-BE32-E72D297353CC}">
                <c16:uniqueId val="{00000004-F3C0-46A5-8F02-366A6D78349D}"/>
              </c:ext>
            </c:extLst>
          </c:dPt>
          <c:dPt>
            <c:idx val="4"/>
            <c:bubble3D val="0"/>
            <c:spPr>
              <a:solidFill>
                <a:srgbClr val="7030A0"/>
              </a:solidFill>
              <a:ln>
                <a:solidFill>
                  <a:srgbClr val="FFFFFF"/>
                </a:solidFill>
              </a:ln>
            </c:spPr>
            <c:extLst>
              <c:ext xmlns:c16="http://schemas.microsoft.com/office/drawing/2014/chart" uri="{C3380CC4-5D6E-409C-BE32-E72D297353CC}">
                <c16:uniqueId val="{00000005-F3C0-46A5-8F02-366A6D78349D}"/>
              </c:ext>
            </c:extLst>
          </c:dPt>
          <c:dPt>
            <c:idx val="5"/>
            <c:bubble3D val="0"/>
            <c:spPr>
              <a:solidFill>
                <a:srgbClr val="618724"/>
              </a:solidFill>
              <a:ln>
                <a:solidFill>
                  <a:srgbClr val="FFFFFF"/>
                </a:solidFill>
              </a:ln>
            </c:spPr>
            <c:extLst>
              <c:ext xmlns:c16="http://schemas.microsoft.com/office/drawing/2014/chart" uri="{C3380CC4-5D6E-409C-BE32-E72D297353CC}">
                <c16:uniqueId val="{00000006-F3C0-46A5-8F02-366A6D78349D}"/>
              </c:ext>
            </c:extLst>
          </c:dPt>
          <c:dPt>
            <c:idx val="6"/>
            <c:bubble3D val="0"/>
            <c:spPr>
              <a:solidFill>
                <a:srgbClr val="91A0AA"/>
              </a:solidFill>
              <a:ln>
                <a:solidFill>
                  <a:srgbClr val="FFFFFF"/>
                </a:solidFill>
              </a:ln>
            </c:spPr>
            <c:extLst>
              <c:ext xmlns:c16="http://schemas.microsoft.com/office/drawing/2014/chart" uri="{C3380CC4-5D6E-409C-BE32-E72D297353CC}">
                <c16:uniqueId val="{00000007-F3C0-46A5-8F02-366A6D78349D}"/>
              </c:ext>
            </c:extLst>
          </c:dPt>
          <c:dPt>
            <c:idx val="7"/>
            <c:bubble3D val="0"/>
            <c:spPr>
              <a:solidFill>
                <a:srgbClr val="ED7D31"/>
              </a:solidFill>
              <a:ln>
                <a:solidFill>
                  <a:srgbClr val="FFFFFF"/>
                </a:solidFill>
              </a:ln>
            </c:spPr>
            <c:extLst>
              <c:ext xmlns:c16="http://schemas.microsoft.com/office/drawing/2014/chart" uri="{C3380CC4-5D6E-409C-BE32-E72D297353CC}">
                <c16:uniqueId val="{00000008-F3C0-46A5-8F02-366A6D78349D}"/>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F3C0-46A5-8F02-366A6D78349D}"/>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441113861412881"/>
          <c:y val="0.15067901234567901"/>
          <c:w val="0.46558882536096058"/>
          <c:h val="0.72222222222222221"/>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07BE-4AFD-89F9-1C91C42887D2}"/>
            </c:ext>
          </c:extLst>
        </c:ser>
        <c:dLbls>
          <c:showLegendKey val="0"/>
          <c:showVal val="0"/>
          <c:showCatName val="0"/>
          <c:showSerName val="0"/>
          <c:showPercent val="0"/>
          <c:showBubbleSize val="0"/>
        </c:dLbls>
        <c:marker val="1"/>
        <c:smooth val="0"/>
        <c:axId val="907411679"/>
        <c:axId val="907413599"/>
      </c:lineChart>
      <c:catAx>
        <c:axId val="907411679"/>
        <c:scaling>
          <c:orientation val="minMax"/>
        </c:scaling>
        <c:delete val="0"/>
        <c:axPos val="b"/>
        <c:numFmt formatCode="General" sourceLinked="1"/>
        <c:majorTickMark val="out"/>
        <c:minorTickMark val="none"/>
        <c:tickLblPos val="nextTo"/>
        <c:spPr>
          <a:ln>
            <a:solidFill>
              <a:srgbClr val="D2D2D2"/>
            </a:solidFill>
          </a:ln>
        </c:spPr>
        <c:crossAx val="907413599"/>
        <c:crosses val="autoZero"/>
        <c:auto val="1"/>
        <c:lblAlgn val="ctr"/>
        <c:lblOffset val="100"/>
        <c:noMultiLvlLbl val="0"/>
      </c:catAx>
      <c:valAx>
        <c:axId val="907413599"/>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907411679"/>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3EE3-46BA-B736-76167C622BB0}"/>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3EE3-46BA-B736-76167C622BB0}"/>
            </c:ext>
          </c:extLst>
        </c:ser>
        <c:dLbls>
          <c:showLegendKey val="0"/>
          <c:showVal val="0"/>
          <c:showCatName val="0"/>
          <c:showSerName val="0"/>
          <c:showPercent val="0"/>
          <c:showBubbleSize val="0"/>
        </c:dLbls>
        <c:gapWidth val="150"/>
        <c:axId val="907408799"/>
        <c:axId val="907409759"/>
      </c:barChart>
      <c:catAx>
        <c:axId val="907408799"/>
        <c:scaling>
          <c:orientation val="minMax"/>
        </c:scaling>
        <c:delete val="0"/>
        <c:axPos val="b"/>
        <c:numFmt formatCode="General" sourceLinked="1"/>
        <c:majorTickMark val="out"/>
        <c:minorTickMark val="none"/>
        <c:tickLblPos val="nextTo"/>
        <c:spPr>
          <a:ln>
            <a:solidFill>
              <a:srgbClr val="D2D2D2"/>
            </a:solidFill>
          </a:ln>
        </c:spPr>
        <c:crossAx val="907409759"/>
        <c:crosses val="autoZero"/>
        <c:auto val="1"/>
        <c:lblAlgn val="ctr"/>
        <c:lblOffset val="100"/>
        <c:noMultiLvlLbl val="0"/>
      </c:catAx>
      <c:valAx>
        <c:axId val="907409759"/>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907408799"/>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3A86-4A0C-B203-53D2E93F2498}"/>
            </c:ext>
          </c:extLst>
        </c:ser>
        <c:dLbls>
          <c:showLegendKey val="0"/>
          <c:showVal val="0"/>
          <c:showCatName val="0"/>
          <c:showSerName val="0"/>
          <c:showPercent val="0"/>
          <c:showBubbleSize val="0"/>
        </c:dLbls>
        <c:gapWidth val="70"/>
        <c:axId val="907415519"/>
        <c:axId val="907417919"/>
      </c:barChart>
      <c:catAx>
        <c:axId val="907415519"/>
        <c:scaling>
          <c:orientation val="minMax"/>
        </c:scaling>
        <c:delete val="0"/>
        <c:axPos val="l"/>
        <c:numFmt formatCode="General" sourceLinked="1"/>
        <c:majorTickMark val="out"/>
        <c:minorTickMark val="none"/>
        <c:tickLblPos val="nextTo"/>
        <c:spPr>
          <a:ln>
            <a:solidFill>
              <a:srgbClr val="D2D2D2"/>
            </a:solidFill>
          </a:ln>
        </c:spPr>
        <c:crossAx val="907417919"/>
        <c:crosses val="autoZero"/>
        <c:auto val="1"/>
        <c:lblAlgn val="ctr"/>
        <c:lblOffset val="100"/>
        <c:noMultiLvlLbl val="0"/>
      </c:catAx>
      <c:valAx>
        <c:axId val="907417919"/>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907415519"/>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33</xdr:col>
      <xdr:colOff>274593</xdr:colOff>
      <xdr:row>3</xdr:row>
      <xdr:rowOff>0</xdr:rowOff>
    </xdr:to>
    <xdr:sp macro="" textlink="">
      <xdr:nvSpPr>
        <xdr:cNvPr id="2" name="Header_Banner">
          <a:extLst>
            <a:ext uri="{FF2B5EF4-FFF2-40B4-BE49-F238E27FC236}">
              <a16:creationId xmlns:a16="http://schemas.microsoft.com/office/drawing/2014/main" id="{123A8926-670B-878B-A25E-413D791ECEBE}"/>
            </a:ext>
          </a:extLst>
        </xdr:cNvPr>
        <xdr:cNvSpPr/>
      </xdr:nvSpPr>
      <xdr:spPr>
        <a:xfrm>
          <a:off x="0" y="0"/>
          <a:ext cx="17567188" cy="823784"/>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129540</xdr:colOff>
      <xdr:row>2</xdr:row>
      <xdr:rowOff>129540</xdr:rowOff>
    </xdr:to>
    <xdr:sp macro="" textlink="">
      <xdr:nvSpPr>
        <xdr:cNvPr id="3" name="Oval 2">
          <a:extLst>
            <a:ext uri="{FF2B5EF4-FFF2-40B4-BE49-F238E27FC236}">
              <a16:creationId xmlns:a16="http://schemas.microsoft.com/office/drawing/2014/main" id="{A8D62FE6-448C-B068-E2F7-7000BCECC454}"/>
            </a:ext>
          </a:extLst>
        </xdr:cNvPr>
        <xdr:cNvSpPr/>
      </xdr:nvSpPr>
      <xdr:spPr>
        <a:xfrm>
          <a:off x="152400" y="14478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231140</xdr:colOff>
      <xdr:row>0</xdr:row>
      <xdr:rowOff>0</xdr:rowOff>
    </xdr:from>
    <xdr:to>
      <xdr:col>25</xdr:col>
      <xdr:colOff>139700</xdr:colOff>
      <xdr:row>3</xdr:row>
      <xdr:rowOff>0</xdr:rowOff>
    </xdr:to>
    <xdr:sp macro="" textlink="">
      <xdr:nvSpPr>
        <xdr:cNvPr id="4" name="TextBox 3">
          <a:extLst>
            <a:ext uri="{FF2B5EF4-FFF2-40B4-BE49-F238E27FC236}">
              <a16:creationId xmlns:a16="http://schemas.microsoft.com/office/drawing/2014/main" id="{CF5967BF-CB7F-52E0-B5B1-8D8A0A095CBD}"/>
            </a:ext>
          </a:extLst>
        </xdr:cNvPr>
        <xdr:cNvSpPr txBox="1"/>
      </xdr:nvSpPr>
      <xdr:spPr>
        <a:xfrm>
          <a:off x="787400" y="0"/>
          <a:ext cx="132588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AUTO VBA EXPENSES DASHBOARD | FY 2025</a:t>
          </a:r>
        </a:p>
      </xdr:txBody>
    </xdr:sp>
    <xdr:clientData/>
  </xdr:twoCellAnchor>
  <xdr:twoCellAnchor>
    <xdr:from>
      <xdr:col>27</xdr:col>
      <xdr:colOff>519038</xdr:colOff>
      <xdr:row>0</xdr:row>
      <xdr:rowOff>43679</xdr:rowOff>
    </xdr:from>
    <xdr:to>
      <xdr:col>34</xdr:col>
      <xdr:colOff>37577</xdr:colOff>
      <xdr:row>2</xdr:row>
      <xdr:rowOff>216399</xdr:rowOff>
    </xdr:to>
    <xdr:sp macro="" textlink="">
      <xdr:nvSpPr>
        <xdr:cNvPr id="5" name="TextBox 4">
          <a:extLst>
            <a:ext uri="{FF2B5EF4-FFF2-40B4-BE49-F238E27FC236}">
              <a16:creationId xmlns:a16="http://schemas.microsoft.com/office/drawing/2014/main" id="{4E0223E1-6A77-5370-362C-34199249DD2C}"/>
            </a:ext>
          </a:extLst>
        </xdr:cNvPr>
        <xdr:cNvSpPr txBox="1"/>
      </xdr:nvSpPr>
      <xdr:spPr>
        <a:xfrm>
          <a:off x="15516907" y="43679"/>
          <a:ext cx="2409866" cy="72819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May 31,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38E98B4E-5339-02DA-7D4A-C83DBE9A0EA2}"/>
            </a:ext>
          </a:extLst>
        </xdr:cNvPr>
        <xdr:cNvSpPr/>
      </xdr:nvSpPr>
      <xdr:spPr>
        <a:xfrm>
          <a:off x="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53340</xdr:colOff>
      <xdr:row>7</xdr:row>
      <xdr:rowOff>0</xdr:rowOff>
    </xdr:to>
    <xdr:sp macro="" textlink="">
      <xdr:nvSpPr>
        <xdr:cNvPr id="7" name="Oval 6">
          <a:extLst>
            <a:ext uri="{FF2B5EF4-FFF2-40B4-BE49-F238E27FC236}">
              <a16:creationId xmlns:a16="http://schemas.microsoft.com/office/drawing/2014/main" id="{B678AF96-C160-99AF-4265-740EEE9E2C38}"/>
            </a:ext>
          </a:extLst>
        </xdr:cNvPr>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129540</xdr:colOff>
      <xdr:row>4</xdr:row>
      <xdr:rowOff>101600</xdr:rowOff>
    </xdr:from>
    <xdr:to>
      <xdr:col>4</xdr:col>
      <xdr:colOff>505460</xdr:colOff>
      <xdr:row>5</xdr:row>
      <xdr:rowOff>152400</xdr:rowOff>
    </xdr:to>
    <xdr:sp macro="" textlink="">
      <xdr:nvSpPr>
        <xdr:cNvPr id="8" name="TextBox 7">
          <a:extLst>
            <a:ext uri="{FF2B5EF4-FFF2-40B4-BE49-F238E27FC236}">
              <a16:creationId xmlns:a16="http://schemas.microsoft.com/office/drawing/2014/main" id="{F33B79E3-6D91-8DBD-361F-DE0ED0CFFC2B}"/>
            </a:ext>
          </a:extLst>
        </xdr:cNvPr>
        <xdr:cNvSpPr txBox="1"/>
      </xdr:nvSpPr>
      <xdr:spPr>
        <a:xfrm>
          <a:off x="6858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129540</xdr:colOff>
      <xdr:row>5</xdr:row>
      <xdr:rowOff>139700</xdr:rowOff>
    </xdr:from>
    <xdr:to>
      <xdr:col>4</xdr:col>
      <xdr:colOff>505460</xdr:colOff>
      <xdr:row>7</xdr:row>
      <xdr:rowOff>114300</xdr:rowOff>
    </xdr:to>
    <xdr:sp macro="" textlink="Dashboard!$AF$2">
      <xdr:nvSpPr>
        <xdr:cNvPr id="9" name="TextBox 8">
          <a:extLst>
            <a:ext uri="{FF2B5EF4-FFF2-40B4-BE49-F238E27FC236}">
              <a16:creationId xmlns:a16="http://schemas.microsoft.com/office/drawing/2014/main" id="{F1302639-B50F-6776-2727-C28C639CC64F}"/>
            </a:ext>
          </a:extLst>
        </xdr:cNvPr>
        <xdr:cNvSpPr txBox="1"/>
      </xdr:nvSpPr>
      <xdr:spPr>
        <a:xfrm>
          <a:off x="6858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75EB66E-F849-4983-8F1F-10DE200E3045}" type="TxLink">
            <a:rPr lang="en-US" sz="2800" b="1" i="0" u="none" strike="noStrike">
              <a:solidFill>
                <a:srgbClr val="054A19"/>
              </a:solidFill>
              <a:latin typeface="Aptos"/>
            </a:rPr>
            <a:t>18,405K</a:t>
          </a:fld>
          <a:endParaRPr lang="en-IN" sz="2800" b="1">
            <a:solidFill>
              <a:srgbClr val="054A19"/>
            </a:solidFill>
          </a:endParaRPr>
        </a:p>
      </xdr:txBody>
    </xdr:sp>
    <xdr:clientData/>
  </xdr:twoCellAnchor>
  <xdr:twoCellAnchor>
    <xdr:from>
      <xdr:col>1</xdr:col>
      <xdr:colOff>129540</xdr:colOff>
      <xdr:row>7</xdr:row>
      <xdr:rowOff>50800</xdr:rowOff>
    </xdr:from>
    <xdr:to>
      <xdr:col>4</xdr:col>
      <xdr:colOff>505460</xdr:colOff>
      <xdr:row>7</xdr:row>
      <xdr:rowOff>215900</xdr:rowOff>
    </xdr:to>
    <xdr:sp macro="" textlink="">
      <xdr:nvSpPr>
        <xdr:cNvPr id="10" name="TextBox 9">
          <a:extLst>
            <a:ext uri="{FF2B5EF4-FFF2-40B4-BE49-F238E27FC236}">
              <a16:creationId xmlns:a16="http://schemas.microsoft.com/office/drawing/2014/main" id="{DA0DF578-5363-1EBC-EED8-B029742A839C}"/>
            </a:ext>
          </a:extLst>
        </xdr:cNvPr>
        <xdr:cNvSpPr txBox="1"/>
      </xdr:nvSpPr>
      <xdr:spPr>
        <a:xfrm>
          <a:off x="6858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2EF19FA8-742A-1A97-A8FD-E4AB022907F6}"/>
            </a:ext>
          </a:extLst>
        </xdr:cNvPr>
        <xdr:cNvSpPr/>
      </xdr:nvSpPr>
      <xdr:spPr>
        <a:xfrm>
          <a:off x="27813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53340</xdr:colOff>
      <xdr:row>7</xdr:row>
      <xdr:rowOff>0</xdr:rowOff>
    </xdr:to>
    <xdr:sp macro="" textlink="">
      <xdr:nvSpPr>
        <xdr:cNvPr id="12" name="Oval 11">
          <a:extLst>
            <a:ext uri="{FF2B5EF4-FFF2-40B4-BE49-F238E27FC236}">
              <a16:creationId xmlns:a16="http://schemas.microsoft.com/office/drawing/2014/main" id="{490662EB-835B-9F21-CA80-E477B39CDEB2}"/>
            </a:ext>
          </a:extLst>
        </xdr:cNvPr>
        <xdr:cNvSpPr/>
      </xdr:nvSpPr>
      <xdr:spPr>
        <a:xfrm>
          <a:off x="2908300" y="125476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129540</xdr:colOff>
      <xdr:row>4</xdr:row>
      <xdr:rowOff>101600</xdr:rowOff>
    </xdr:from>
    <xdr:to>
      <xdr:col>9</xdr:col>
      <xdr:colOff>505460</xdr:colOff>
      <xdr:row>5</xdr:row>
      <xdr:rowOff>152400</xdr:rowOff>
    </xdr:to>
    <xdr:sp macro="" textlink="">
      <xdr:nvSpPr>
        <xdr:cNvPr id="13" name="TextBox 12">
          <a:extLst>
            <a:ext uri="{FF2B5EF4-FFF2-40B4-BE49-F238E27FC236}">
              <a16:creationId xmlns:a16="http://schemas.microsoft.com/office/drawing/2014/main" id="{D510C00C-379F-E827-8396-49E5E176886F}"/>
            </a:ext>
          </a:extLst>
        </xdr:cNvPr>
        <xdr:cNvSpPr txBox="1"/>
      </xdr:nvSpPr>
      <xdr:spPr>
        <a:xfrm>
          <a:off x="34671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129540</xdr:colOff>
      <xdr:row>5</xdr:row>
      <xdr:rowOff>139700</xdr:rowOff>
    </xdr:from>
    <xdr:to>
      <xdr:col>9</xdr:col>
      <xdr:colOff>505460</xdr:colOff>
      <xdr:row>7</xdr:row>
      <xdr:rowOff>114300</xdr:rowOff>
    </xdr:to>
    <xdr:sp macro="" textlink="Dashboard!$AF$3">
      <xdr:nvSpPr>
        <xdr:cNvPr id="14" name="TextBox 13">
          <a:extLst>
            <a:ext uri="{FF2B5EF4-FFF2-40B4-BE49-F238E27FC236}">
              <a16:creationId xmlns:a16="http://schemas.microsoft.com/office/drawing/2014/main" id="{F84FA923-345F-6440-AD78-CF80BAF28DEC}"/>
            </a:ext>
          </a:extLst>
        </xdr:cNvPr>
        <xdr:cNvSpPr txBox="1"/>
      </xdr:nvSpPr>
      <xdr:spPr>
        <a:xfrm>
          <a:off x="34671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2ED8A28-F2B4-47D2-B70A-A6E2132E4617}" type="TxLink">
            <a:rPr lang="en-US" sz="2800" b="1" i="0" u="none" strike="noStrike">
              <a:solidFill>
                <a:srgbClr val="054A19"/>
              </a:solidFill>
              <a:latin typeface="Aptos"/>
            </a:rPr>
            <a:t>22,954K</a:t>
          </a:fld>
          <a:endParaRPr lang="en-IN" sz="2800" b="1">
            <a:solidFill>
              <a:srgbClr val="054A19"/>
            </a:solidFill>
          </a:endParaRPr>
        </a:p>
      </xdr:txBody>
    </xdr:sp>
    <xdr:clientData/>
  </xdr:twoCellAnchor>
  <xdr:twoCellAnchor>
    <xdr:from>
      <xdr:col>6</xdr:col>
      <xdr:colOff>129540</xdr:colOff>
      <xdr:row>7</xdr:row>
      <xdr:rowOff>50800</xdr:rowOff>
    </xdr:from>
    <xdr:to>
      <xdr:col>9</xdr:col>
      <xdr:colOff>505460</xdr:colOff>
      <xdr:row>7</xdr:row>
      <xdr:rowOff>215900</xdr:rowOff>
    </xdr:to>
    <xdr:sp macro="" textlink="">
      <xdr:nvSpPr>
        <xdr:cNvPr id="15" name="TextBox 14">
          <a:extLst>
            <a:ext uri="{FF2B5EF4-FFF2-40B4-BE49-F238E27FC236}">
              <a16:creationId xmlns:a16="http://schemas.microsoft.com/office/drawing/2014/main" id="{BBE2BA60-D178-B7D6-C1CF-2085129F7D6F}"/>
            </a:ext>
          </a:extLst>
        </xdr:cNvPr>
        <xdr:cNvSpPr txBox="1"/>
      </xdr:nvSpPr>
      <xdr:spPr>
        <a:xfrm>
          <a:off x="34671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6288AF93-9A0A-0A84-CC9B-6CD5394FAA96}"/>
            </a:ext>
          </a:extLst>
        </xdr:cNvPr>
        <xdr:cNvSpPr/>
      </xdr:nvSpPr>
      <xdr:spPr>
        <a:xfrm>
          <a:off x="55626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53340</xdr:colOff>
      <xdr:row>7</xdr:row>
      <xdr:rowOff>0</xdr:rowOff>
    </xdr:to>
    <xdr:sp macro="" textlink="">
      <xdr:nvSpPr>
        <xdr:cNvPr id="17" name="Oval 16">
          <a:extLst>
            <a:ext uri="{FF2B5EF4-FFF2-40B4-BE49-F238E27FC236}">
              <a16:creationId xmlns:a16="http://schemas.microsoft.com/office/drawing/2014/main" id="{AEFD7885-1214-EAA0-6FB9-BE6E415A132B}"/>
            </a:ext>
          </a:extLst>
        </xdr:cNvPr>
        <xdr:cNvSpPr/>
      </xdr:nvSpPr>
      <xdr:spPr>
        <a:xfrm>
          <a:off x="5689600" y="125476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129540</xdr:colOff>
      <xdr:row>4</xdr:row>
      <xdr:rowOff>101600</xdr:rowOff>
    </xdr:from>
    <xdr:to>
      <xdr:col>14</xdr:col>
      <xdr:colOff>505460</xdr:colOff>
      <xdr:row>5</xdr:row>
      <xdr:rowOff>152400</xdr:rowOff>
    </xdr:to>
    <xdr:sp macro="" textlink="">
      <xdr:nvSpPr>
        <xdr:cNvPr id="18" name="TextBox 17">
          <a:extLst>
            <a:ext uri="{FF2B5EF4-FFF2-40B4-BE49-F238E27FC236}">
              <a16:creationId xmlns:a16="http://schemas.microsoft.com/office/drawing/2014/main" id="{6B455966-7440-0951-36E2-BDED7BDA80B0}"/>
            </a:ext>
          </a:extLst>
        </xdr:cNvPr>
        <xdr:cNvSpPr txBox="1"/>
      </xdr:nvSpPr>
      <xdr:spPr>
        <a:xfrm>
          <a:off x="62484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129540</xdr:colOff>
      <xdr:row>5</xdr:row>
      <xdr:rowOff>139700</xdr:rowOff>
    </xdr:from>
    <xdr:to>
      <xdr:col>14</xdr:col>
      <xdr:colOff>505460</xdr:colOff>
      <xdr:row>7</xdr:row>
      <xdr:rowOff>114300</xdr:rowOff>
    </xdr:to>
    <xdr:sp macro="" textlink="Dashboard!$AF$4">
      <xdr:nvSpPr>
        <xdr:cNvPr id="19" name="TextBox 18">
          <a:extLst>
            <a:ext uri="{FF2B5EF4-FFF2-40B4-BE49-F238E27FC236}">
              <a16:creationId xmlns:a16="http://schemas.microsoft.com/office/drawing/2014/main" id="{753286A1-7C2B-4064-FEF8-986895E9B1E5}"/>
            </a:ext>
          </a:extLst>
        </xdr:cNvPr>
        <xdr:cNvSpPr txBox="1"/>
      </xdr:nvSpPr>
      <xdr:spPr>
        <a:xfrm>
          <a:off x="62484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9849231-944D-45D1-90AA-F71D51B00D30}" type="TxLink">
            <a:rPr lang="en-US" sz="2800" b="1" i="0" u="none" strike="noStrike">
              <a:solidFill>
                <a:srgbClr val="054A19"/>
              </a:solidFill>
              <a:latin typeface="Aptos"/>
            </a:rPr>
            <a:t>4,549K</a:t>
          </a:fld>
          <a:endParaRPr lang="en-IN" sz="2800" b="1">
            <a:solidFill>
              <a:srgbClr val="054A19"/>
            </a:solidFill>
          </a:endParaRPr>
        </a:p>
      </xdr:txBody>
    </xdr:sp>
    <xdr:clientData/>
  </xdr:twoCellAnchor>
  <xdr:twoCellAnchor>
    <xdr:from>
      <xdr:col>11</xdr:col>
      <xdr:colOff>129540</xdr:colOff>
      <xdr:row>7</xdr:row>
      <xdr:rowOff>50800</xdr:rowOff>
    </xdr:from>
    <xdr:to>
      <xdr:col>14</xdr:col>
      <xdr:colOff>505460</xdr:colOff>
      <xdr:row>7</xdr:row>
      <xdr:rowOff>215900</xdr:rowOff>
    </xdr:to>
    <xdr:sp macro="" textlink="">
      <xdr:nvSpPr>
        <xdr:cNvPr id="20" name="TextBox 19">
          <a:extLst>
            <a:ext uri="{FF2B5EF4-FFF2-40B4-BE49-F238E27FC236}">
              <a16:creationId xmlns:a16="http://schemas.microsoft.com/office/drawing/2014/main" id="{8B92613E-459D-6E19-3D8C-FFA254E19670}"/>
            </a:ext>
          </a:extLst>
        </xdr:cNvPr>
        <xdr:cNvSpPr txBox="1"/>
      </xdr:nvSpPr>
      <xdr:spPr>
        <a:xfrm>
          <a:off x="62484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49D9D0C6-4A7B-9E5B-C9E5-18C5BA0E2013}"/>
            </a:ext>
          </a:extLst>
        </xdr:cNvPr>
        <xdr:cNvSpPr/>
      </xdr:nvSpPr>
      <xdr:spPr>
        <a:xfrm>
          <a:off x="83439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53340</xdr:colOff>
      <xdr:row>7</xdr:row>
      <xdr:rowOff>0</xdr:rowOff>
    </xdr:to>
    <xdr:sp macro="" textlink="">
      <xdr:nvSpPr>
        <xdr:cNvPr id="22" name="Oval 21">
          <a:extLst>
            <a:ext uri="{FF2B5EF4-FFF2-40B4-BE49-F238E27FC236}">
              <a16:creationId xmlns:a16="http://schemas.microsoft.com/office/drawing/2014/main" id="{6D5BA50A-4330-81D6-B559-213EAC18FE22}"/>
            </a:ext>
          </a:extLst>
        </xdr:cNvPr>
        <xdr:cNvSpPr/>
      </xdr:nvSpPr>
      <xdr:spPr>
        <a:xfrm>
          <a:off x="8470900" y="125476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129540</xdr:colOff>
      <xdr:row>4</xdr:row>
      <xdr:rowOff>101600</xdr:rowOff>
    </xdr:from>
    <xdr:to>
      <xdr:col>19</xdr:col>
      <xdr:colOff>505460</xdr:colOff>
      <xdr:row>5</xdr:row>
      <xdr:rowOff>152400</xdr:rowOff>
    </xdr:to>
    <xdr:sp macro="" textlink="">
      <xdr:nvSpPr>
        <xdr:cNvPr id="23" name="TextBox 22">
          <a:extLst>
            <a:ext uri="{FF2B5EF4-FFF2-40B4-BE49-F238E27FC236}">
              <a16:creationId xmlns:a16="http://schemas.microsoft.com/office/drawing/2014/main" id="{13AFB39D-3B00-7583-4822-396E40D7FB19}"/>
            </a:ext>
          </a:extLst>
        </xdr:cNvPr>
        <xdr:cNvSpPr txBox="1"/>
      </xdr:nvSpPr>
      <xdr:spPr>
        <a:xfrm>
          <a:off x="90297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129540</xdr:colOff>
      <xdr:row>5</xdr:row>
      <xdr:rowOff>139700</xdr:rowOff>
    </xdr:from>
    <xdr:to>
      <xdr:col>19</xdr:col>
      <xdr:colOff>505460</xdr:colOff>
      <xdr:row>7</xdr:row>
      <xdr:rowOff>114300</xdr:rowOff>
    </xdr:to>
    <xdr:sp macro="" textlink="Dashboard!$AF$5">
      <xdr:nvSpPr>
        <xdr:cNvPr id="24" name="TextBox 23">
          <a:extLst>
            <a:ext uri="{FF2B5EF4-FFF2-40B4-BE49-F238E27FC236}">
              <a16:creationId xmlns:a16="http://schemas.microsoft.com/office/drawing/2014/main" id="{E572765A-C683-D75E-94BF-B6E78AAB7469}"/>
            </a:ext>
          </a:extLst>
        </xdr:cNvPr>
        <xdr:cNvSpPr txBox="1"/>
      </xdr:nvSpPr>
      <xdr:spPr>
        <a:xfrm>
          <a:off x="90297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EED093FF-EF66-4623-9789-5B706B01CB5E}" type="TxLink">
            <a:rPr lang="en-US" sz="2800" b="1" i="0" u="none" strike="noStrike">
              <a:solidFill>
                <a:srgbClr val="054A19"/>
              </a:solidFill>
              <a:latin typeface="Aptos"/>
            </a:rPr>
            <a:t>415</a:t>
          </a:fld>
          <a:endParaRPr lang="en-IN" sz="2800" b="1">
            <a:solidFill>
              <a:srgbClr val="054A19"/>
            </a:solidFill>
          </a:endParaRPr>
        </a:p>
      </xdr:txBody>
    </xdr:sp>
    <xdr:clientData/>
  </xdr:twoCellAnchor>
  <xdr:twoCellAnchor>
    <xdr:from>
      <xdr:col>16</xdr:col>
      <xdr:colOff>129540</xdr:colOff>
      <xdr:row>7</xdr:row>
      <xdr:rowOff>50800</xdr:rowOff>
    </xdr:from>
    <xdr:to>
      <xdr:col>19</xdr:col>
      <xdr:colOff>505460</xdr:colOff>
      <xdr:row>7</xdr:row>
      <xdr:rowOff>215900</xdr:rowOff>
    </xdr:to>
    <xdr:sp macro="" textlink="">
      <xdr:nvSpPr>
        <xdr:cNvPr id="25" name="TextBox 24">
          <a:extLst>
            <a:ext uri="{FF2B5EF4-FFF2-40B4-BE49-F238E27FC236}">
              <a16:creationId xmlns:a16="http://schemas.microsoft.com/office/drawing/2014/main" id="{07055377-0A83-3B29-FC19-F044A94014DC}"/>
            </a:ext>
          </a:extLst>
        </xdr:cNvPr>
        <xdr:cNvSpPr txBox="1"/>
      </xdr:nvSpPr>
      <xdr:spPr>
        <a:xfrm>
          <a:off x="90297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7F68413C-FEF1-93A7-0E02-DDBE1731E6C0}"/>
            </a:ext>
          </a:extLst>
        </xdr:cNvPr>
        <xdr:cNvSpPr/>
      </xdr:nvSpPr>
      <xdr:spPr>
        <a:xfrm>
          <a:off x="111252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53340</xdr:colOff>
      <xdr:row>7</xdr:row>
      <xdr:rowOff>0</xdr:rowOff>
    </xdr:to>
    <xdr:sp macro="" textlink="">
      <xdr:nvSpPr>
        <xdr:cNvPr id="27" name="Oval 26">
          <a:extLst>
            <a:ext uri="{FF2B5EF4-FFF2-40B4-BE49-F238E27FC236}">
              <a16:creationId xmlns:a16="http://schemas.microsoft.com/office/drawing/2014/main" id="{1E4706F8-B082-A06C-EF84-49C68068EED9}"/>
            </a:ext>
          </a:extLst>
        </xdr:cNvPr>
        <xdr:cNvSpPr/>
      </xdr:nvSpPr>
      <xdr:spPr>
        <a:xfrm>
          <a:off x="11252200" y="125476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129540</xdr:colOff>
      <xdr:row>4</xdr:row>
      <xdr:rowOff>101600</xdr:rowOff>
    </xdr:from>
    <xdr:to>
      <xdr:col>24</xdr:col>
      <xdr:colOff>505460</xdr:colOff>
      <xdr:row>5</xdr:row>
      <xdr:rowOff>152400</xdr:rowOff>
    </xdr:to>
    <xdr:sp macro="" textlink="">
      <xdr:nvSpPr>
        <xdr:cNvPr id="28" name="TextBox 27">
          <a:extLst>
            <a:ext uri="{FF2B5EF4-FFF2-40B4-BE49-F238E27FC236}">
              <a16:creationId xmlns:a16="http://schemas.microsoft.com/office/drawing/2014/main" id="{4DFED970-7568-E1E0-D15B-5C0CEFB804E9}"/>
            </a:ext>
          </a:extLst>
        </xdr:cNvPr>
        <xdr:cNvSpPr txBox="1"/>
      </xdr:nvSpPr>
      <xdr:spPr>
        <a:xfrm>
          <a:off x="118110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129540</xdr:colOff>
      <xdr:row>5</xdr:row>
      <xdr:rowOff>139700</xdr:rowOff>
    </xdr:from>
    <xdr:to>
      <xdr:col>24</xdr:col>
      <xdr:colOff>505460</xdr:colOff>
      <xdr:row>7</xdr:row>
      <xdr:rowOff>114300</xdr:rowOff>
    </xdr:to>
    <xdr:sp macro="" textlink="Dashboard!$AF$6">
      <xdr:nvSpPr>
        <xdr:cNvPr id="29" name="TextBox 28">
          <a:extLst>
            <a:ext uri="{FF2B5EF4-FFF2-40B4-BE49-F238E27FC236}">
              <a16:creationId xmlns:a16="http://schemas.microsoft.com/office/drawing/2014/main" id="{7E4EF2AA-5703-BA9E-CC2D-D30CD8B22C80}"/>
            </a:ext>
          </a:extLst>
        </xdr:cNvPr>
        <xdr:cNvSpPr txBox="1"/>
      </xdr:nvSpPr>
      <xdr:spPr>
        <a:xfrm>
          <a:off x="118110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EC33D17-F208-4704-A293-8D719E1D148D}" type="TxLink">
            <a:rPr lang="en-US" sz="2800" b="1" i="0" u="none" strike="noStrike">
              <a:solidFill>
                <a:srgbClr val="054A19"/>
              </a:solidFill>
              <a:latin typeface="Aptos"/>
            </a:rPr>
            <a:t>81.4%</a:t>
          </a:fld>
          <a:endParaRPr lang="en-IN" sz="2800" b="1">
            <a:solidFill>
              <a:srgbClr val="054A19"/>
            </a:solidFill>
          </a:endParaRPr>
        </a:p>
      </xdr:txBody>
    </xdr:sp>
    <xdr:clientData/>
  </xdr:twoCellAnchor>
  <xdr:twoCellAnchor>
    <xdr:from>
      <xdr:col>21</xdr:col>
      <xdr:colOff>129540</xdr:colOff>
      <xdr:row>7</xdr:row>
      <xdr:rowOff>50800</xdr:rowOff>
    </xdr:from>
    <xdr:to>
      <xdr:col>24</xdr:col>
      <xdr:colOff>505460</xdr:colOff>
      <xdr:row>7</xdr:row>
      <xdr:rowOff>215900</xdr:rowOff>
    </xdr:to>
    <xdr:sp macro="" textlink="">
      <xdr:nvSpPr>
        <xdr:cNvPr id="30" name="TextBox 29">
          <a:extLst>
            <a:ext uri="{FF2B5EF4-FFF2-40B4-BE49-F238E27FC236}">
              <a16:creationId xmlns:a16="http://schemas.microsoft.com/office/drawing/2014/main" id="{A7282268-CBA8-BA03-F762-79C6979BC05B}"/>
            </a:ext>
          </a:extLst>
        </xdr:cNvPr>
        <xdr:cNvSpPr txBox="1"/>
      </xdr:nvSpPr>
      <xdr:spPr>
        <a:xfrm>
          <a:off x="118110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C5B934DD-4FED-2847-84BE-00A215E4F752}"/>
            </a:ext>
          </a:extLst>
        </xdr:cNvPr>
        <xdr:cNvSpPr/>
      </xdr:nvSpPr>
      <xdr:spPr>
        <a:xfrm>
          <a:off x="139065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53340</xdr:colOff>
      <xdr:row>7</xdr:row>
      <xdr:rowOff>0</xdr:rowOff>
    </xdr:to>
    <xdr:sp macro="" textlink="">
      <xdr:nvSpPr>
        <xdr:cNvPr id="32" name="Oval 31">
          <a:extLst>
            <a:ext uri="{FF2B5EF4-FFF2-40B4-BE49-F238E27FC236}">
              <a16:creationId xmlns:a16="http://schemas.microsoft.com/office/drawing/2014/main" id="{30F01DED-2C19-553F-A708-4A679EEF564B}"/>
            </a:ext>
          </a:extLst>
        </xdr:cNvPr>
        <xdr:cNvSpPr/>
      </xdr:nvSpPr>
      <xdr:spPr>
        <a:xfrm>
          <a:off x="14033500" y="125476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129540</xdr:colOff>
      <xdr:row>4</xdr:row>
      <xdr:rowOff>101600</xdr:rowOff>
    </xdr:from>
    <xdr:to>
      <xdr:col>29</xdr:col>
      <xdr:colOff>505460</xdr:colOff>
      <xdr:row>5</xdr:row>
      <xdr:rowOff>152400</xdr:rowOff>
    </xdr:to>
    <xdr:sp macro="" textlink="">
      <xdr:nvSpPr>
        <xdr:cNvPr id="33" name="TextBox 32">
          <a:extLst>
            <a:ext uri="{FF2B5EF4-FFF2-40B4-BE49-F238E27FC236}">
              <a16:creationId xmlns:a16="http://schemas.microsoft.com/office/drawing/2014/main" id="{AFCF25C4-6034-26F7-A207-59E4AB83566F}"/>
            </a:ext>
          </a:extLst>
        </xdr:cNvPr>
        <xdr:cNvSpPr txBox="1"/>
      </xdr:nvSpPr>
      <xdr:spPr>
        <a:xfrm>
          <a:off x="145923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129540</xdr:colOff>
      <xdr:row>5</xdr:row>
      <xdr:rowOff>139700</xdr:rowOff>
    </xdr:from>
    <xdr:to>
      <xdr:col>29</xdr:col>
      <xdr:colOff>505460</xdr:colOff>
      <xdr:row>7</xdr:row>
      <xdr:rowOff>114300</xdr:rowOff>
    </xdr:to>
    <xdr:sp macro="" textlink="Dashboard!$AF$7">
      <xdr:nvSpPr>
        <xdr:cNvPr id="34" name="TextBox 33">
          <a:extLst>
            <a:ext uri="{FF2B5EF4-FFF2-40B4-BE49-F238E27FC236}">
              <a16:creationId xmlns:a16="http://schemas.microsoft.com/office/drawing/2014/main" id="{A7F3046F-4648-1CD3-F23C-2983D06F22C4}"/>
            </a:ext>
          </a:extLst>
        </xdr:cNvPr>
        <xdr:cNvSpPr txBox="1"/>
      </xdr:nvSpPr>
      <xdr:spPr>
        <a:xfrm>
          <a:off x="145923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D50FED3-D954-450D-8492-12A38F7AE09E}" type="TxLink">
            <a:rPr lang="en-US" sz="2800" b="1" i="0" u="none" strike="noStrike">
              <a:solidFill>
                <a:srgbClr val="054A19"/>
              </a:solidFill>
              <a:latin typeface="Aptos"/>
            </a:rPr>
            <a:t>44K</a:t>
          </a:fld>
          <a:endParaRPr lang="en-IN" sz="2800" b="1">
            <a:solidFill>
              <a:srgbClr val="054A19"/>
            </a:solidFill>
          </a:endParaRPr>
        </a:p>
      </xdr:txBody>
    </xdr:sp>
    <xdr:clientData/>
  </xdr:twoCellAnchor>
  <xdr:twoCellAnchor>
    <xdr:from>
      <xdr:col>26</xdr:col>
      <xdr:colOff>129540</xdr:colOff>
      <xdr:row>7</xdr:row>
      <xdr:rowOff>50800</xdr:rowOff>
    </xdr:from>
    <xdr:to>
      <xdr:col>29</xdr:col>
      <xdr:colOff>505460</xdr:colOff>
      <xdr:row>7</xdr:row>
      <xdr:rowOff>215900</xdr:rowOff>
    </xdr:to>
    <xdr:sp macro="" textlink="">
      <xdr:nvSpPr>
        <xdr:cNvPr id="35" name="TextBox 34">
          <a:extLst>
            <a:ext uri="{FF2B5EF4-FFF2-40B4-BE49-F238E27FC236}">
              <a16:creationId xmlns:a16="http://schemas.microsoft.com/office/drawing/2014/main" id="{F273016B-FBA6-F039-81AC-E2305347DF9D}"/>
            </a:ext>
          </a:extLst>
        </xdr:cNvPr>
        <xdr:cNvSpPr txBox="1"/>
      </xdr:nvSpPr>
      <xdr:spPr>
        <a:xfrm>
          <a:off x="145923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714D084C-9A64-556E-BD32-2159F039E1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A05B8B57-9655-E638-B0CA-EE39A7E2AF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E02256AD-0221-7D71-E3B6-A5A2BD4B9A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F4117B76-2C12-622C-B560-DF2D934264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33</xdr:col>
      <xdr:colOff>254000</xdr:colOff>
      <xdr:row>28</xdr:row>
      <xdr:rowOff>36704</xdr:rowOff>
    </xdr:to>
    <xdr:graphicFrame macro="">
      <xdr:nvGraphicFramePr>
        <xdr:cNvPr id="40" name="Chart 39">
          <a:extLst>
            <a:ext uri="{FF2B5EF4-FFF2-40B4-BE49-F238E27FC236}">
              <a16:creationId xmlns:a16="http://schemas.microsoft.com/office/drawing/2014/main" id="{7504736E-335C-6464-35A9-CFF41EF5C2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23948</xdr:colOff>
      <xdr:row>9</xdr:row>
      <xdr:rowOff>6531</xdr:rowOff>
    </xdr:from>
    <xdr:to>
      <xdr:col>33</xdr:col>
      <xdr:colOff>245742</xdr:colOff>
      <xdr:row>14</xdr:row>
      <xdr:rowOff>6531</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7A447E23-9875-903F-EA88-03B41360B02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2244434" y="2207073"/>
              <a:ext cx="5278056" cy="11394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23949</xdr:colOff>
      <xdr:row>14</xdr:row>
      <xdr:rowOff>6531</xdr:rowOff>
    </xdr:from>
    <xdr:to>
      <xdr:col>33</xdr:col>
      <xdr:colOff>246870</xdr:colOff>
      <xdr:row>18</xdr:row>
      <xdr:rowOff>6531</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CC96D7AC-0CB4-640A-E53B-9D3F28FC367A}"/>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2244435" y="3346512"/>
              <a:ext cx="5279183" cy="9115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jani Kumar Mishra" refreshedDate="46173.624308796294" createdVersion="8" refreshedVersion="8" minRefreshableVersion="3" recordCount="415" xr:uid="{B023F605-7A00-4412-9D0F-1253CB1F1743}">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0345600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973786-0356-4106-9157-32B19436ABBE}" name="PT_BudgetVsActual"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2" firstHeaderRow="0"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632">
      <pivotArea type="all" dataOnly="0" outline="0" fieldPosition="0"/>
    </format>
    <format dxfId="631">
      <pivotArea outline="0" collapsedLevelsAreSubtotals="1" fieldPosition="0"/>
    </format>
    <format dxfId="630">
      <pivotArea field="2" type="button" dataOnly="0" labelOnly="1" outline="0" axis="axisRow" fieldPosition="0"/>
    </format>
    <format dxfId="629">
      <pivotArea dataOnly="0" labelOnly="1" outline="0" fieldPosition="0">
        <references count="1">
          <reference field="2" count="0"/>
        </references>
      </pivotArea>
    </format>
    <format dxfId="628">
      <pivotArea dataOnly="0" labelOnly="1" grandRow="1" outline="0" fieldPosition="0"/>
    </format>
    <format dxfId="627">
      <pivotArea dataOnly="0" labelOnly="1" outline="0" fieldPosition="0">
        <references count="1">
          <reference field="4294967294" count="2">
            <x v="0"/>
            <x v="1"/>
          </reference>
        </references>
      </pivotArea>
    </format>
    <format dxfId="626">
      <pivotArea type="all" dataOnly="0" outline="0" fieldPosition="0"/>
    </format>
    <format dxfId="625">
      <pivotArea outline="0" collapsedLevelsAreSubtotals="1" fieldPosition="0"/>
    </format>
    <format dxfId="624">
      <pivotArea field="2" type="button" dataOnly="0" labelOnly="1" outline="0" axis="axisRow" fieldPosition="0"/>
    </format>
    <format dxfId="623">
      <pivotArea dataOnly="0" labelOnly="1" outline="0" fieldPosition="0">
        <references count="1">
          <reference field="2" count="0"/>
        </references>
      </pivotArea>
    </format>
    <format dxfId="622">
      <pivotArea dataOnly="0" labelOnly="1" grandRow="1" outline="0" fieldPosition="0"/>
    </format>
    <format dxfId="62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1C5006-3121-4DAA-A575-E973C5F0B7AB}" name="PT_PaymentMethod"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644">
      <pivotArea type="all" dataOnly="0" outline="0" fieldPosition="0"/>
    </format>
    <format dxfId="643">
      <pivotArea outline="0" collapsedLevelsAreSubtotals="1" fieldPosition="0"/>
    </format>
    <format dxfId="642">
      <pivotArea field="6" type="button" dataOnly="0" labelOnly="1" outline="0" axis="axisRow" fieldPosition="0"/>
    </format>
    <format dxfId="641">
      <pivotArea dataOnly="0" labelOnly="1" outline="0" fieldPosition="0">
        <references count="1">
          <reference field="6" count="0"/>
        </references>
      </pivotArea>
    </format>
    <format dxfId="640">
      <pivotArea dataOnly="0" labelOnly="1" grandRow="1" outline="0" fieldPosition="0"/>
    </format>
    <format dxfId="639">
      <pivotArea dataOnly="0" labelOnly="1" outline="0" axis="axisValues" fieldPosition="0"/>
    </format>
    <format dxfId="638">
      <pivotArea type="all" dataOnly="0" outline="0" fieldPosition="0"/>
    </format>
    <format dxfId="637">
      <pivotArea outline="0" collapsedLevelsAreSubtotals="1" fieldPosition="0"/>
    </format>
    <format dxfId="636">
      <pivotArea field="6" type="button" dataOnly="0" labelOnly="1" outline="0" axis="axisRow" fieldPosition="0"/>
    </format>
    <format dxfId="635">
      <pivotArea dataOnly="0" labelOnly="1" outline="0" fieldPosition="0">
        <references count="1">
          <reference field="6" count="0"/>
        </references>
      </pivotArea>
    </format>
    <format dxfId="634">
      <pivotArea dataOnly="0" labelOnly="1" grandRow="1" outline="0" fieldPosition="0"/>
    </format>
    <format dxfId="6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CE65822-79DA-4477-BF3F-56ABFD5DB257}" name="PT_KPI" cacheId="6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652">
      <pivotArea outline="0" collapsedLevelsAreSubtotals="1" fieldPosition="0"/>
    </format>
    <format dxfId="651">
      <pivotArea outline="0" collapsedLevelsAreSubtotals="1" fieldPosition="0">
        <references count="1">
          <reference field="4294967294" count="1" selected="0">
            <x v="3"/>
          </reference>
        </references>
      </pivotArea>
    </format>
    <format dxfId="650">
      <pivotArea type="all" dataOnly="0" outline="0" fieldPosition="0"/>
    </format>
    <format dxfId="649">
      <pivotArea outline="0" collapsedLevelsAreSubtotals="1" fieldPosition="0"/>
    </format>
    <format dxfId="648">
      <pivotArea dataOnly="0" labelOnly="1" outline="0" fieldPosition="0">
        <references count="1">
          <reference field="4294967294" count="4">
            <x v="0"/>
            <x v="1"/>
            <x v="2"/>
            <x v="3"/>
          </reference>
        </references>
      </pivotArea>
    </format>
    <format dxfId="647">
      <pivotArea type="all" dataOnly="0" outline="0" fieldPosition="0"/>
    </format>
    <format dxfId="646">
      <pivotArea outline="0" collapsedLevelsAreSubtotals="1" fieldPosition="0"/>
    </format>
    <format dxfId="645">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114616-9FA6-4113-96E0-ECF21F2A2BCF}" name="PT_ApprovedStatus"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653">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B23B70-99A9-4779-85B0-9E1760898ADA}" name="PT_MonthlyTrend"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2">
    <format dxfId="665">
      <pivotArea type="all" dataOnly="0" outline="0" fieldPosition="0"/>
    </format>
    <format dxfId="664">
      <pivotArea outline="0" collapsedLevelsAreSubtotals="1" fieldPosition="0"/>
    </format>
    <format dxfId="663">
      <pivotArea field="12" type="button" dataOnly="0" labelOnly="1" outline="0" axis="axisRow" fieldPosition="0"/>
    </format>
    <format dxfId="662">
      <pivotArea dataOnly="0" labelOnly="1" outline="0" fieldPosition="0">
        <references count="1">
          <reference field="12" count="0"/>
        </references>
      </pivotArea>
    </format>
    <format dxfId="661">
      <pivotArea dataOnly="0" labelOnly="1" grandRow="1" outline="0" fieldPosition="0"/>
    </format>
    <format dxfId="660">
      <pivotArea dataOnly="0" labelOnly="1" outline="0" axis="axisValues" fieldPosition="0"/>
    </format>
    <format dxfId="659">
      <pivotArea type="all" dataOnly="0" outline="0" fieldPosition="0"/>
    </format>
    <format dxfId="658">
      <pivotArea outline="0" collapsedLevelsAreSubtotals="1" fieldPosition="0"/>
    </format>
    <format dxfId="657">
      <pivotArea field="12" type="button" dataOnly="0" labelOnly="1" outline="0" axis="axisRow" fieldPosition="0"/>
    </format>
    <format dxfId="656">
      <pivotArea dataOnly="0" labelOnly="1" outline="0" fieldPosition="0">
        <references count="1">
          <reference field="12" count="0"/>
        </references>
      </pivotArea>
    </format>
    <format dxfId="655">
      <pivotArea dataOnly="0" labelOnly="1" grandRow="1" outline="0" fieldPosition="0"/>
    </format>
    <format dxfId="65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5A0D598-FEED-47B2-B69F-69E8BCD9D663}" name="PT_ExpenseByCategory"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677">
      <pivotArea type="all" dataOnly="0" outline="0" fieldPosition="0"/>
    </format>
    <format dxfId="676">
      <pivotArea outline="0" collapsedLevelsAreSubtotals="1" fieldPosition="0"/>
    </format>
    <format dxfId="675">
      <pivotArea field="3" type="button" dataOnly="0" labelOnly="1" outline="0" axis="axisRow" fieldPosition="0"/>
    </format>
    <format dxfId="674">
      <pivotArea dataOnly="0" labelOnly="1" outline="0" fieldPosition="0">
        <references count="1">
          <reference field="3" count="0"/>
        </references>
      </pivotArea>
    </format>
    <format dxfId="673">
      <pivotArea dataOnly="0" labelOnly="1" grandRow="1" outline="0" fieldPosition="0"/>
    </format>
    <format dxfId="672">
      <pivotArea dataOnly="0" labelOnly="1" outline="0" axis="axisValues" fieldPosition="0"/>
    </format>
    <format dxfId="671">
      <pivotArea type="all" dataOnly="0" outline="0" fieldPosition="0"/>
    </format>
    <format dxfId="670">
      <pivotArea outline="0" collapsedLevelsAreSubtotals="1" fieldPosition="0"/>
    </format>
    <format dxfId="669">
      <pivotArea field="3" type="button" dataOnly="0" labelOnly="1" outline="0" axis="axisRow" fieldPosition="0"/>
    </format>
    <format dxfId="668">
      <pivotArea dataOnly="0" labelOnly="1" outline="0" fieldPosition="0">
        <references count="1">
          <reference field="3" count="0"/>
        </references>
      </pivotArea>
    </format>
    <format dxfId="667">
      <pivotArea dataOnly="0" labelOnly="1" grandRow="1" outline="0" fieldPosition="0"/>
    </format>
    <format dxfId="66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5BFC5C-6BEC-4146-AFC9-67D6692BE95D}" name="PT_ExpenseByDepartment"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689">
      <pivotArea type="all" dataOnly="0" outline="0" fieldPosition="0"/>
    </format>
    <format dxfId="688">
      <pivotArea outline="0" collapsedLevelsAreSubtotals="1" fieldPosition="0"/>
    </format>
    <format dxfId="687">
      <pivotArea field="2" type="button" dataOnly="0" labelOnly="1" outline="0" axis="axisRow" fieldPosition="0"/>
    </format>
    <format dxfId="686">
      <pivotArea dataOnly="0" labelOnly="1" outline="0" fieldPosition="0">
        <references count="1">
          <reference field="2" count="0"/>
        </references>
      </pivotArea>
    </format>
    <format dxfId="685">
      <pivotArea dataOnly="0" labelOnly="1" grandRow="1" outline="0" fieldPosition="0"/>
    </format>
    <format dxfId="684">
      <pivotArea dataOnly="0" labelOnly="1" outline="0" axis="axisValues" fieldPosition="0"/>
    </format>
    <format dxfId="683">
      <pivotArea type="all" dataOnly="0" outline="0" fieldPosition="0"/>
    </format>
    <format dxfId="682">
      <pivotArea outline="0" collapsedLevelsAreSubtotals="1" fieldPosition="0"/>
    </format>
    <format dxfId="681">
      <pivotArea field="2" type="button" dataOnly="0" labelOnly="1" outline="0" axis="axisRow" fieldPosition="0"/>
    </format>
    <format dxfId="680">
      <pivotArea dataOnly="0" labelOnly="1" outline="0" fieldPosition="0">
        <references count="1">
          <reference field="2" count="0"/>
        </references>
      </pivotArea>
    </format>
    <format dxfId="679">
      <pivotArea dataOnly="0" labelOnly="1" grandRow="1" outline="0" fieldPosition="0"/>
    </format>
    <format dxfId="67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10EB22E-59EA-4584-BE58-63D4499D2C9B}"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034560045">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D4A32E6-92FE-4949-9B1F-9EA23E14E95B}"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034560045">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6B5B92EA-7AAB-43B5-9A7B-8197AAD86570}" cache="Slicer_Month" caption="Month" columnCount="4" style="SlicerStyleLight6" rowHeight="247650"/>
  <slicer name="Department" xr10:uid="{1B41159D-E77D-4A2F-B0B6-0AFF900D8BD4}" cache="Slicer_Department" caption="Department" columnCount="6" style="SlicerStyleLight6"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219A9FF-705F-48C6-8638-387067C17A70}" name="tblExpenses" displayName="tblExpenses" ref="A1:M416" totalsRowShown="0" headerRowDxfId="690">
  <autoFilter ref="A1:M416" xr:uid="{6219A9FF-705F-48C6-8638-387067C17A70}"/>
  <tableColumns count="13">
    <tableColumn id="1" xr3:uid="{E1E2C945-3688-4330-B5C1-EAB83A469F26}" name="Expense ID"/>
    <tableColumn id="2" xr3:uid="{F35233E5-6ACE-4298-BC0E-CA37F6DE8A1F}" name="Date" dataDxfId="694"/>
    <tableColumn id="3" xr3:uid="{8EBA0516-9D3E-42EC-A102-2EBD9A3182A6}" name="Department"/>
    <tableColumn id="4" xr3:uid="{92DD081C-CE62-41CC-A75F-5C307B907B1B}" name="Category"/>
    <tableColumn id="5" xr3:uid="{7F77FA39-F1C8-4394-8165-D8418E563103}" name="Description"/>
    <tableColumn id="6" xr3:uid="{7175F119-050F-49FE-AE8B-85C84EFDF4B5}" name="Amount (INR)" dataDxfId="693"/>
    <tableColumn id="7" xr3:uid="{E6573B37-4EB0-43C1-AEC5-93EA7392E90F}" name="Payment Method"/>
    <tableColumn id="8" xr3:uid="{2704F474-C160-48F4-AE62-190582122FDA}" name="Approved"/>
    <tableColumn id="9" xr3:uid="{129F918D-5092-4160-99FC-90E3D25CBE5A}" name="Budget Allocated" dataDxfId="692"/>
    <tableColumn id="10" xr3:uid="{DF93DC54-FD6C-4593-B83A-561622390B91}" name="Budget Remaining" dataDxfId="691"/>
    <tableColumn id="11" xr3:uid="{19931537-6809-422A-8679-83DD53E27459}" name="Vendor Name"/>
    <tableColumn id="12" xr3:uid="{1A21D375-5E66-4445-9AF2-BAEE4451F7DD}" name="Invoice Number"/>
    <tableColumn id="13" xr3:uid="{C6B2D6EA-7590-49D4-A748-49D0E98A160A}"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AF257-F0A8-44F5-81A4-A585E671E70F}">
  <sheetPr>
    <pageSetUpPr fitToPage="1"/>
  </sheetPr>
  <dimension ref="A1:AF29"/>
  <sheetViews>
    <sheetView showGridLines="0" tabSelected="1" zoomScale="107" zoomScaleNormal="70" workbookViewId="0">
      <selection activeCell="F1" sqref="F1"/>
    </sheetView>
  </sheetViews>
  <sheetFormatPr defaultRowHeight="13.8" x14ac:dyDescent="0.3"/>
  <cols>
    <col min="1" max="30" width="8.109375" style="11" customWidth="1"/>
    <col min="31" max="31" width="8.88671875" style="11"/>
    <col min="32" max="33" width="0" style="11" hidden="1" customWidth="1"/>
    <col min="34" max="16384" width="8.88671875" style="11"/>
  </cols>
  <sheetData>
    <row r="1" spans="1:32" ht="22.05" customHeight="1" x14ac:dyDescent="0.3">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row>
    <row r="2" spans="1:32" ht="22.05" customHeight="1" x14ac:dyDescent="0.3">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F2" s="12">
        <f>IFERROR(GETPIVOTDATA("Sum of Amount (INR)",Pivot!$M$3),0)</f>
        <v>18405183</v>
      </c>
    </row>
    <row r="3" spans="1:32" ht="22.05" customHeight="1" x14ac:dyDescent="0.3">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F3" s="12">
        <f>IFERROR(GETPIVOTDATA("Sum of Budget Allocated",Pivot!$M$3),0)</f>
        <v>22953950</v>
      </c>
    </row>
    <row r="4" spans="1:32" ht="18" customHeight="1" x14ac:dyDescent="0.3">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F4" s="12">
        <f>IFERROR(GETPIVOTDATA("Sum of Budget Remaining",Pivot!$M$3),0)</f>
        <v>4548767</v>
      </c>
    </row>
    <row r="5" spans="1:32" ht="18" customHeight="1" x14ac:dyDescent="0.3">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F5" s="13">
        <f>IFERROR(GETPIVOTDATA("Count of Expense ID",Pivot!$M$3),0)</f>
        <v>415</v>
      </c>
    </row>
    <row r="6" spans="1:32" ht="18" customHeight="1" x14ac:dyDescent="0.3">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F6" s="14">
        <f>IFERROR(GETPIVOTDATA("Count of Expense ID",Pivot!$J$3,"Approved","Yes")/AF5,0)</f>
        <v>0.81445783132530125</v>
      </c>
    </row>
    <row r="7" spans="1:32" ht="18" customHeight="1" x14ac:dyDescent="0.3">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F7" s="12">
        <f>IFERROR(AF2/AF5,0)</f>
        <v>44349.838554216869</v>
      </c>
    </row>
    <row r="8" spans="1:32" ht="18" customHeight="1" x14ac:dyDescent="0.3">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row>
    <row r="9" spans="1:32" ht="18" customHeight="1" x14ac:dyDescent="0.3">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row>
    <row r="10" spans="1:32" ht="18" customHeight="1" x14ac:dyDescent="0.3">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row>
    <row r="11" spans="1:32" ht="18" customHeight="1" x14ac:dyDescent="0.3">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row>
    <row r="12" spans="1:32" ht="18" customHeight="1" x14ac:dyDescent="0.3">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row>
    <row r="13" spans="1:32" ht="18" customHeight="1" x14ac:dyDescent="0.3">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row>
    <row r="14" spans="1:32" ht="18" customHeight="1" x14ac:dyDescent="0.3">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row>
    <row r="15" spans="1:32" ht="18" customHeight="1" x14ac:dyDescent="0.3">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row>
    <row r="16" spans="1:32" ht="18" customHeight="1" x14ac:dyDescent="0.3">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ht="18" customHeight="1" x14ac:dyDescent="0.3">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ht="18" customHeight="1" x14ac:dyDescent="0.3">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ht="18" customHeight="1" x14ac:dyDescent="0.3">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ht="18" customHeight="1" x14ac:dyDescent="0.3">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ht="18" customHeight="1" x14ac:dyDescent="0.3">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ht="18" customHeight="1" x14ac:dyDescent="0.3">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ht="18" customHeight="1" x14ac:dyDescent="0.3">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ht="18" customHeight="1" x14ac:dyDescent="0.3">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ht="18" customHeight="1" x14ac:dyDescent="0.3">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ht="18" customHeight="1" x14ac:dyDescent="0.3">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ht="18" customHeight="1" x14ac:dyDescent="0.3">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ht="18" customHeight="1" x14ac:dyDescent="0.3">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8" customHeight="1" x14ac:dyDescent="0.3">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zoomScale="135" workbookViewId="0">
      <selection activeCell="I20" sqref="I20"/>
    </sheetView>
  </sheetViews>
  <sheetFormatPr defaultRowHeight="14.4" x14ac:dyDescent="0.3"/>
  <cols>
    <col min="1" max="1" width="12.21875" bestFit="1" customWidth="1"/>
    <col min="2" max="2" width="12" bestFit="1" customWidth="1"/>
    <col min="3" max="3" width="13.21875" bestFit="1" customWidth="1"/>
    <col min="4" max="4" width="13.5546875" bestFit="1" customWidth="1"/>
    <col min="5" max="5" width="32.33203125" bestFit="1" customWidth="1"/>
    <col min="6" max="6" width="14.33203125" bestFit="1" customWidth="1"/>
    <col min="7" max="7" width="17.21875" bestFit="1" customWidth="1"/>
    <col min="8" max="8" width="11.21875" bestFit="1" customWidth="1"/>
    <col min="9" max="9" width="17.44140625" bestFit="1" customWidth="1"/>
    <col min="10" max="10" width="18.21875" bestFit="1" customWidth="1"/>
    <col min="11" max="11" width="18" bestFit="1" customWidth="1"/>
    <col min="12" max="12" width="16.44140625" bestFit="1" customWidth="1"/>
    <col min="13" max="13" width="8.33203125" bestFit="1" customWidth="1"/>
  </cols>
  <sheetData>
    <row r="1" spans="1:13" s="3" customFormat="1" x14ac:dyDescent="0.3">
      <c r="A1" s="3" t="s">
        <v>0</v>
      </c>
      <c r="B1" s="3" t="s">
        <v>1</v>
      </c>
      <c r="C1" s="3" t="s">
        <v>2</v>
      </c>
      <c r="D1" s="3" t="s">
        <v>3</v>
      </c>
      <c r="E1" s="3" t="s">
        <v>4</v>
      </c>
      <c r="F1" s="3" t="s">
        <v>5</v>
      </c>
      <c r="G1" s="3" t="s">
        <v>6</v>
      </c>
      <c r="H1" s="3" t="s">
        <v>7</v>
      </c>
      <c r="I1" s="3" t="s">
        <v>8</v>
      </c>
      <c r="J1" s="3" t="s">
        <v>9</v>
      </c>
      <c r="K1" s="3" t="s">
        <v>10</v>
      </c>
      <c r="L1" s="3" t="s">
        <v>11</v>
      </c>
      <c r="M1" s="3" t="s">
        <v>918</v>
      </c>
    </row>
    <row r="2" spans="1:13" x14ac:dyDescent="0.3">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3">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3">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3">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3">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3">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3">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3">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B3ADF-1775-41D9-91D7-2C8B05EA2D9E}">
  <dimension ref="A3:P62"/>
  <sheetViews>
    <sheetView workbookViewId="0"/>
  </sheetViews>
  <sheetFormatPr defaultRowHeight="14.4" x14ac:dyDescent="0.3"/>
  <cols>
    <col min="1" max="1" width="17.6640625" bestFit="1" customWidth="1"/>
    <col min="2" max="2" width="19" bestFit="1" customWidth="1"/>
    <col min="4" max="4" width="13.44140625" bestFit="1" customWidth="1"/>
    <col min="5" max="5" width="11.88671875" bestFit="1" customWidth="1"/>
    <col min="6" max="6" width="22.33203125" bestFit="1" customWidth="1"/>
    <col min="7" max="7" width="10.88671875" bestFit="1" customWidth="1"/>
    <col min="8" max="8" width="19" bestFit="1" customWidth="1"/>
    <col min="10" max="10" width="11.21875" bestFit="1" customWidth="1"/>
    <col min="11" max="11" width="18.33203125" bestFit="1" customWidth="1"/>
    <col min="12" max="12" width="17.33203125" bestFit="1" customWidth="1"/>
    <col min="13" max="13" width="19" bestFit="1" customWidth="1"/>
    <col min="14" max="14" width="22.33203125" bestFit="1" customWidth="1"/>
    <col min="15" max="15" width="23.33203125" bestFit="1" customWidth="1"/>
    <col min="16" max="16" width="18.44140625" bestFit="1" customWidth="1"/>
  </cols>
  <sheetData>
    <row r="3" spans="1:16" x14ac:dyDescent="0.3">
      <c r="A3" s="5" t="s">
        <v>2</v>
      </c>
      <c r="B3" s="6" t="s">
        <v>920</v>
      </c>
      <c r="D3" s="5" t="s">
        <v>3</v>
      </c>
      <c r="E3" s="6" t="s">
        <v>920</v>
      </c>
      <c r="G3" s="5" t="s">
        <v>918</v>
      </c>
      <c r="H3" s="6" t="s">
        <v>920</v>
      </c>
      <c r="J3" s="4" t="s">
        <v>7</v>
      </c>
      <c r="K3" t="s">
        <v>920</v>
      </c>
      <c r="L3" t="s">
        <v>933</v>
      </c>
      <c r="M3" s="6" t="s">
        <v>920</v>
      </c>
      <c r="N3" s="6" t="s">
        <v>934</v>
      </c>
      <c r="O3" s="6" t="s">
        <v>935</v>
      </c>
      <c r="P3" s="6" t="s">
        <v>933</v>
      </c>
    </row>
    <row r="4" spans="1:16" x14ac:dyDescent="0.3">
      <c r="A4" s="6" t="s">
        <v>13</v>
      </c>
      <c r="B4" s="7">
        <v>3366315</v>
      </c>
      <c r="D4" s="6" t="s">
        <v>31</v>
      </c>
      <c r="E4" s="7">
        <v>6030171</v>
      </c>
      <c r="G4" s="6" t="s">
        <v>921</v>
      </c>
      <c r="H4" s="7">
        <v>1379978</v>
      </c>
      <c r="J4" t="s">
        <v>43</v>
      </c>
      <c r="K4" s="2">
        <v>3628179</v>
      </c>
      <c r="L4" s="9">
        <v>77</v>
      </c>
      <c r="M4" s="7">
        <v>18405183</v>
      </c>
      <c r="N4" s="7">
        <v>22953950</v>
      </c>
      <c r="O4" s="7">
        <v>4548767</v>
      </c>
      <c r="P4" s="10">
        <v>415</v>
      </c>
    </row>
    <row r="5" spans="1:16" x14ac:dyDescent="0.3">
      <c r="A5" s="6" t="s">
        <v>92</v>
      </c>
      <c r="B5" s="7">
        <v>2611075</v>
      </c>
      <c r="D5" s="6" t="s">
        <v>36</v>
      </c>
      <c r="E5" s="7">
        <v>3671418</v>
      </c>
      <c r="G5" s="6" t="s">
        <v>922</v>
      </c>
      <c r="H5" s="7">
        <v>1058599</v>
      </c>
      <c r="J5" t="s">
        <v>17</v>
      </c>
      <c r="K5" s="2">
        <v>14777004</v>
      </c>
      <c r="L5" s="9">
        <v>338</v>
      </c>
    </row>
    <row r="6" spans="1:16" x14ac:dyDescent="0.3">
      <c r="A6" s="6" t="s">
        <v>72</v>
      </c>
      <c r="B6" s="7">
        <v>3616924</v>
      </c>
      <c r="D6" s="6" t="s">
        <v>21</v>
      </c>
      <c r="E6" s="7">
        <v>3505155</v>
      </c>
      <c r="G6" s="6" t="s">
        <v>923</v>
      </c>
      <c r="H6" s="7">
        <v>1179601</v>
      </c>
      <c r="J6" t="s">
        <v>919</v>
      </c>
      <c r="K6" s="2">
        <v>18405183</v>
      </c>
      <c r="L6" s="8">
        <v>415</v>
      </c>
    </row>
    <row r="7" spans="1:16" x14ac:dyDescent="0.3">
      <c r="A7" s="6" t="s">
        <v>21</v>
      </c>
      <c r="B7" s="7">
        <v>3010276</v>
      </c>
      <c r="D7" s="6" t="s">
        <v>26</v>
      </c>
      <c r="E7" s="7">
        <v>208093</v>
      </c>
      <c r="G7" s="6" t="s">
        <v>924</v>
      </c>
      <c r="H7" s="7">
        <v>1317668</v>
      </c>
    </row>
    <row r="8" spans="1:16" x14ac:dyDescent="0.3">
      <c r="A8" s="6" t="s">
        <v>114</v>
      </c>
      <c r="B8" s="7">
        <v>3346621</v>
      </c>
      <c r="D8" s="6" t="s">
        <v>14</v>
      </c>
      <c r="E8" s="7">
        <v>1743238</v>
      </c>
      <c r="G8" s="6" t="s">
        <v>925</v>
      </c>
      <c r="H8" s="7">
        <v>1780658</v>
      </c>
    </row>
    <row r="9" spans="1:16" x14ac:dyDescent="0.3">
      <c r="A9" s="6" t="s">
        <v>46</v>
      </c>
      <c r="B9" s="7">
        <v>2453972</v>
      </c>
      <c r="D9" s="6" t="s">
        <v>132</v>
      </c>
      <c r="E9" s="7">
        <v>772840</v>
      </c>
      <c r="G9" s="6" t="s">
        <v>926</v>
      </c>
      <c r="H9" s="7">
        <v>1286080</v>
      </c>
    </row>
    <row r="10" spans="1:16" x14ac:dyDescent="0.3">
      <c r="A10" s="6" t="s">
        <v>919</v>
      </c>
      <c r="B10" s="7">
        <v>18405183</v>
      </c>
      <c r="D10" s="6" t="s">
        <v>58</v>
      </c>
      <c r="E10" s="7">
        <v>2023948</v>
      </c>
      <c r="G10" s="6" t="s">
        <v>927</v>
      </c>
      <c r="H10" s="7">
        <v>2119404</v>
      </c>
    </row>
    <row r="11" spans="1:16" x14ac:dyDescent="0.3">
      <c r="D11" s="6" t="s">
        <v>54</v>
      </c>
      <c r="E11" s="7">
        <v>450320</v>
      </c>
      <c r="G11" s="6" t="s">
        <v>928</v>
      </c>
      <c r="H11" s="7">
        <v>1669539</v>
      </c>
    </row>
    <row r="12" spans="1:16" x14ac:dyDescent="0.3">
      <c r="D12" s="6" t="s">
        <v>919</v>
      </c>
      <c r="E12" s="7">
        <v>18405183</v>
      </c>
      <c r="G12" s="6" t="s">
        <v>929</v>
      </c>
      <c r="H12" s="7">
        <v>1913484</v>
      </c>
    </row>
    <row r="13" spans="1:16" x14ac:dyDescent="0.3">
      <c r="G13" s="6" t="s">
        <v>930</v>
      </c>
      <c r="H13" s="7">
        <v>1365637</v>
      </c>
    </row>
    <row r="14" spans="1:16" x14ac:dyDescent="0.3">
      <c r="G14" s="6" t="s">
        <v>931</v>
      </c>
      <c r="H14" s="7">
        <v>1795988</v>
      </c>
    </row>
    <row r="15" spans="1:16" x14ac:dyDescent="0.3">
      <c r="G15" s="6" t="s">
        <v>932</v>
      </c>
      <c r="H15" s="7">
        <v>1538547</v>
      </c>
    </row>
    <row r="16" spans="1:16" x14ac:dyDescent="0.3">
      <c r="G16" s="6" t="s">
        <v>919</v>
      </c>
      <c r="H16" s="7">
        <v>18405183</v>
      </c>
    </row>
    <row r="25" spans="1:6" x14ac:dyDescent="0.3">
      <c r="A25" s="5" t="s">
        <v>6</v>
      </c>
      <c r="B25" s="6" t="s">
        <v>920</v>
      </c>
      <c r="D25" s="5" t="s">
        <v>2</v>
      </c>
      <c r="E25" s="6" t="s">
        <v>936</v>
      </c>
      <c r="F25" s="6" t="s">
        <v>934</v>
      </c>
    </row>
    <row r="26" spans="1:6" x14ac:dyDescent="0.3">
      <c r="A26" s="6" t="s">
        <v>51</v>
      </c>
      <c r="B26" s="7">
        <v>4908988</v>
      </c>
      <c r="D26" s="6" t="s">
        <v>13</v>
      </c>
      <c r="E26" s="7">
        <v>3366315</v>
      </c>
      <c r="F26" s="7">
        <v>4162201</v>
      </c>
    </row>
    <row r="27" spans="1:6" x14ac:dyDescent="0.3">
      <c r="A27" s="6" t="s">
        <v>16</v>
      </c>
      <c r="B27" s="7">
        <v>4388835</v>
      </c>
      <c r="D27" s="6" t="s">
        <v>92</v>
      </c>
      <c r="E27" s="7">
        <v>2611075</v>
      </c>
      <c r="F27" s="7">
        <v>3159110</v>
      </c>
    </row>
    <row r="28" spans="1:6" x14ac:dyDescent="0.3">
      <c r="A28" s="6" t="s">
        <v>38</v>
      </c>
      <c r="B28" s="7">
        <v>5477461</v>
      </c>
      <c r="D28" s="6" t="s">
        <v>72</v>
      </c>
      <c r="E28" s="7">
        <v>3616924</v>
      </c>
      <c r="F28" s="7">
        <v>4425089</v>
      </c>
    </row>
    <row r="29" spans="1:6" x14ac:dyDescent="0.3">
      <c r="A29" s="6" t="s">
        <v>23</v>
      </c>
      <c r="B29" s="7">
        <v>3629899</v>
      </c>
      <c r="D29" s="6" t="s">
        <v>21</v>
      </c>
      <c r="E29" s="7">
        <v>3010276</v>
      </c>
      <c r="F29" s="7">
        <v>3898633</v>
      </c>
    </row>
    <row r="30" spans="1:6" x14ac:dyDescent="0.3">
      <c r="A30" s="6" t="s">
        <v>919</v>
      </c>
      <c r="B30" s="7">
        <v>18405183</v>
      </c>
      <c r="D30" s="6" t="s">
        <v>114</v>
      </c>
      <c r="E30" s="7">
        <v>3346621</v>
      </c>
      <c r="F30" s="7">
        <v>4160632</v>
      </c>
    </row>
    <row r="31" spans="1:6" x14ac:dyDescent="0.3">
      <c r="D31" s="6" t="s">
        <v>46</v>
      </c>
      <c r="E31" s="7">
        <v>2453972</v>
      </c>
      <c r="F31" s="7">
        <v>3148285</v>
      </c>
    </row>
    <row r="32" spans="1:6" x14ac:dyDescent="0.3">
      <c r="D32" s="6" t="s">
        <v>919</v>
      </c>
      <c r="E32" s="7">
        <v>18405183</v>
      </c>
      <c r="F32" s="7">
        <v>22953950</v>
      </c>
    </row>
    <row r="50" spans="1:15" x14ac:dyDescent="0.3">
      <c r="A50" t="s">
        <v>2</v>
      </c>
      <c r="B50" t="s">
        <v>937</v>
      </c>
      <c r="D50" t="s">
        <v>3</v>
      </c>
      <c r="E50" t="s">
        <v>937</v>
      </c>
      <c r="G50" t="s">
        <v>918</v>
      </c>
      <c r="H50" t="s">
        <v>937</v>
      </c>
      <c r="J50" t="s">
        <v>6</v>
      </c>
      <c r="K50" t="s">
        <v>937</v>
      </c>
      <c r="M50" t="s">
        <v>2</v>
      </c>
      <c r="N50" t="s">
        <v>936</v>
      </c>
      <c r="O50" t="s">
        <v>8</v>
      </c>
    </row>
    <row r="51" spans="1:15" x14ac:dyDescent="0.3">
      <c r="A51" t="str">
        <f>Pivot!$A$4</f>
        <v>Engineering</v>
      </c>
      <c r="B51" s="2">
        <f>Pivot!$B$4</f>
        <v>3366315</v>
      </c>
      <c r="D51" t="str">
        <f>Pivot!$D$4</f>
        <v>Consulting</v>
      </c>
      <c r="E51" s="2">
        <f>Pivot!$E$4</f>
        <v>6030171</v>
      </c>
      <c r="G51" t="str">
        <f>Pivot!$G$4</f>
        <v>Jan</v>
      </c>
      <c r="H51" s="2">
        <f>Pivot!$H$4</f>
        <v>1379978</v>
      </c>
      <c r="J51" t="str">
        <f>Pivot!$A$26</f>
        <v>Bank Transfer</v>
      </c>
      <c r="K51" s="2">
        <f>Pivot!$B$26</f>
        <v>4908988</v>
      </c>
      <c r="M51" t="str">
        <f>Pivot!$D$26</f>
        <v>Engineering</v>
      </c>
      <c r="N51" s="2">
        <f>Pivot!$E$26</f>
        <v>3366315</v>
      </c>
      <c r="O51" s="2">
        <f>Pivot!$F$26</f>
        <v>4162201</v>
      </c>
    </row>
    <row r="52" spans="1:15" x14ac:dyDescent="0.3">
      <c r="A52" t="str">
        <f>Pivot!$A$5</f>
        <v>Finance</v>
      </c>
      <c r="B52" s="2">
        <f>Pivot!$B$5</f>
        <v>2611075</v>
      </c>
      <c r="D52" t="str">
        <f>Pivot!$D$5</f>
        <v>Equipment</v>
      </c>
      <c r="E52" s="2">
        <f>Pivot!$E$5</f>
        <v>3671418</v>
      </c>
      <c r="G52" t="str">
        <f>Pivot!$G$5</f>
        <v>Feb</v>
      </c>
      <c r="H52" s="2">
        <f>Pivot!$H$5</f>
        <v>1058599</v>
      </c>
      <c r="J52" t="str">
        <f>Pivot!$A$27</f>
        <v>Cash</v>
      </c>
      <c r="K52" s="2">
        <f>Pivot!$B$27</f>
        <v>4388835</v>
      </c>
      <c r="M52" t="str">
        <f>Pivot!$D$27</f>
        <v>Finance</v>
      </c>
      <c r="N52" s="2">
        <f>Pivot!$E$27</f>
        <v>2611075</v>
      </c>
      <c r="O52" s="2">
        <f>Pivot!$F$27</f>
        <v>3159110</v>
      </c>
    </row>
    <row r="53" spans="1:15" x14ac:dyDescent="0.3">
      <c r="A53" t="str">
        <f>Pivot!$A$6</f>
        <v>HR</v>
      </c>
      <c r="B53" s="2">
        <f>Pivot!$B$6</f>
        <v>3616924</v>
      </c>
      <c r="D53" t="str">
        <f>Pivot!$D$6</f>
        <v>Marketing</v>
      </c>
      <c r="E53" s="2">
        <f>Pivot!$E$6</f>
        <v>3505155</v>
      </c>
      <c r="G53" t="str">
        <f>Pivot!$G$6</f>
        <v>Mar</v>
      </c>
      <c r="H53" s="2">
        <f>Pivot!$H$6</f>
        <v>1179601</v>
      </c>
      <c r="J53" t="str">
        <f>Pivot!$A$28</f>
        <v>Cheque</v>
      </c>
      <c r="K53" s="2">
        <f>Pivot!$B$28</f>
        <v>5477461</v>
      </c>
      <c r="M53" t="str">
        <f>Pivot!$D$28</f>
        <v>HR</v>
      </c>
      <c r="N53" s="2">
        <f>Pivot!$E$28</f>
        <v>3616924</v>
      </c>
      <c r="O53" s="2">
        <f>Pivot!$F$28</f>
        <v>4425089</v>
      </c>
    </row>
    <row r="54" spans="1:15" x14ac:dyDescent="0.3">
      <c r="A54" t="str">
        <f>Pivot!$A$7</f>
        <v>Marketing</v>
      </c>
      <c r="B54" s="2">
        <f>Pivot!$B$7</f>
        <v>3010276</v>
      </c>
      <c r="D54" t="str">
        <f>Pivot!$D$7</f>
        <v>Office Supplies</v>
      </c>
      <c r="E54" s="2">
        <f>Pivot!$E$7</f>
        <v>208093</v>
      </c>
      <c r="G54" t="str">
        <f>Pivot!$G$7</f>
        <v>Apr</v>
      </c>
      <c r="H54" s="2">
        <f>Pivot!$H$7</f>
        <v>1317668</v>
      </c>
      <c r="J54" t="str">
        <f>Pivot!$A$29</f>
        <v>Credit Card</v>
      </c>
      <c r="K54" s="2">
        <f>Pivot!$B$29</f>
        <v>3629899</v>
      </c>
      <c r="M54" t="str">
        <f>Pivot!$D$29</f>
        <v>Marketing</v>
      </c>
      <c r="N54" s="2">
        <f>Pivot!$E$29</f>
        <v>3010276</v>
      </c>
      <c r="O54" s="2">
        <f>Pivot!$F$29</f>
        <v>3898633</v>
      </c>
    </row>
    <row r="55" spans="1:15" x14ac:dyDescent="0.3">
      <c r="A55" t="str">
        <f>Pivot!$A$8</f>
        <v>Operations</v>
      </c>
      <c r="B55" s="2">
        <f>Pivot!$B$8</f>
        <v>3346621</v>
      </c>
      <c r="D55" t="str">
        <f>Pivot!$D$8</f>
        <v>Software</v>
      </c>
      <c r="E55" s="2">
        <f>Pivot!$E$8</f>
        <v>1743238</v>
      </c>
      <c r="G55" t="str">
        <f>Pivot!$G$8</f>
        <v>May</v>
      </c>
      <c r="H55" s="2">
        <f>Pivot!$H$8</f>
        <v>1780658</v>
      </c>
      <c r="M55" t="str">
        <f>Pivot!$D$30</f>
        <v>Operations</v>
      </c>
      <c r="N55" s="2">
        <f>Pivot!$E$30</f>
        <v>3346621</v>
      </c>
      <c r="O55" s="2">
        <f>Pivot!$F$30</f>
        <v>4160632</v>
      </c>
    </row>
    <row r="56" spans="1:15" x14ac:dyDescent="0.3">
      <c r="A56" t="str">
        <f>Pivot!$A$9</f>
        <v>Sales</v>
      </c>
      <c r="B56" s="2">
        <f>Pivot!$B$9</f>
        <v>2453972</v>
      </c>
      <c r="D56" t="str">
        <f>Pivot!$D$9</f>
        <v>Training</v>
      </c>
      <c r="E56" s="2">
        <f>Pivot!$E$9</f>
        <v>772840</v>
      </c>
      <c r="G56" t="str">
        <f>Pivot!$G$9</f>
        <v>Jun</v>
      </c>
      <c r="H56" s="2">
        <f>Pivot!$H$9</f>
        <v>1286080</v>
      </c>
      <c r="M56" t="str">
        <f>Pivot!$D$31</f>
        <v>Sales</v>
      </c>
      <c r="N56" s="2">
        <f>Pivot!$E$31</f>
        <v>2453972</v>
      </c>
      <c r="O56" s="2">
        <f>Pivot!$F$31</f>
        <v>3148285</v>
      </c>
    </row>
    <row r="57" spans="1:15" x14ac:dyDescent="0.3">
      <c r="D57" t="str">
        <f>Pivot!$D$10</f>
        <v>Travel</v>
      </c>
      <c r="E57" s="2">
        <f>Pivot!$E$10</f>
        <v>2023948</v>
      </c>
      <c r="G57" t="str">
        <f>Pivot!$G$10</f>
        <v>Jul</v>
      </c>
      <c r="H57" s="2">
        <f>Pivot!$H$10</f>
        <v>2119404</v>
      </c>
    </row>
    <row r="58" spans="1:15" x14ac:dyDescent="0.3">
      <c r="D58" t="str">
        <f>Pivot!$D$11</f>
        <v>Utilities</v>
      </c>
      <c r="E58" s="2">
        <f>Pivot!$E$11</f>
        <v>450320</v>
      </c>
      <c r="G58" t="str">
        <f>Pivot!$G$11</f>
        <v>Aug</v>
      </c>
      <c r="H58" s="2">
        <f>Pivot!$H$11</f>
        <v>1669539</v>
      </c>
    </row>
    <row r="59" spans="1:15" x14ac:dyDescent="0.3">
      <c r="G59" t="str">
        <f>Pivot!$G$12</f>
        <v>Sep</v>
      </c>
      <c r="H59" s="2">
        <f>Pivot!$H$12</f>
        <v>1913484</v>
      </c>
    </row>
    <row r="60" spans="1:15" x14ac:dyDescent="0.3">
      <c r="G60" t="str">
        <f>Pivot!$G$13</f>
        <v>Oct</v>
      </c>
      <c r="H60" s="2">
        <f>Pivot!$H$13</f>
        <v>1365637</v>
      </c>
    </row>
    <row r="61" spans="1:15" x14ac:dyDescent="0.3">
      <c r="G61" t="str">
        <f>Pivot!$G$14</f>
        <v>Nov</v>
      </c>
      <c r="H61" s="2">
        <f>Pivot!$H$14</f>
        <v>1795988</v>
      </c>
    </row>
    <row r="62" spans="1:15" x14ac:dyDescent="0.3">
      <c r="G62" t="str">
        <f>Pivot!$G$15</f>
        <v>Dec</v>
      </c>
      <c r="H62" s="2">
        <f>Pivot!$H$15</f>
        <v>1538547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Anjani Kumar Mishra</cp:lastModifiedBy>
  <dcterms:created xsi:type="dcterms:W3CDTF">2026-05-19T08:07:04Z</dcterms:created>
  <dcterms:modified xsi:type="dcterms:W3CDTF">2026-05-31T09:34:00Z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