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nj\Documents\GitHub\inakm.github.io\myprojects\ExelProj\"/>
    </mc:Choice>
  </mc:AlternateContent>
  <xr:revisionPtr revIDLastSave="0" documentId="13_ncr:1_{22D85DFF-D208-46A3-8CD8-DA710FDE2DD6}" xr6:coauthVersionLast="47" xr6:coauthVersionMax="47" xr10:uidLastSave="{00000000-0000-0000-0000-000000000000}"/>
  <bookViews>
    <workbookView xWindow="-108" yWindow="-108" windowWidth="30936" windowHeight="18696" xr2:uid="{7C2FD2EF-2EBC-42C0-8B2D-B63F3F4A082A}"/>
  </bookViews>
  <sheets>
    <sheet name="HOME" sheetId="1" r:id="rId1"/>
    <sheet name="Costs" sheetId="2" r:id="rId2"/>
    <sheet name="Forecast" sheetId="4" r:id="rId3"/>
    <sheet name="Budget" sheetId="5" r:id="rId4"/>
    <sheet name="Summar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6" l="1"/>
  <c r="F12" i="6"/>
  <c r="F19" i="2"/>
</calcChain>
</file>

<file path=xl/sharedStrings.xml><?xml version="1.0" encoding="utf-8"?>
<sst xmlns="http://schemas.openxmlformats.org/spreadsheetml/2006/main" count="162" uniqueCount="143">
  <si>
    <t>🔒 RestoreX</t>
  </si>
  <si>
    <t>Discord Security &amp; Moderation Bot</t>
  </si>
  <si>
    <t>Early Financial Planning Document</t>
  </si>
  <si>
    <t>FY 2026-27</t>
  </si>
  <si>
    <t>Discord Discovery Page</t>
  </si>
  <si>
    <t>EXECUTIVE SUMMARY</t>
  </si>
  <si>
    <t>This document outlines the early financial planning strategy for RestoreX covering infrastructure, development, revenue generation, and growth forecasting for the initial 18-month period.</t>
  </si>
  <si>
    <t>Mission Statement</t>
  </si>
  <si>
    <t>To provide every Discord community, from small hobby servers to large enterprise-grade guilds, with enterprise-level security, real-time moderation, &amp; zero-downtime protection at an accessible price point.</t>
  </si>
  <si>
    <t>PRODUCT OVERVIEW &amp; VALUE PROPOSITION</t>
  </si>
  <si>
    <r>
      <rPr>
        <b/>
        <sz val="11"/>
        <color theme="1"/>
        <rFont val="Aptos Narrow"/>
        <family val="2"/>
        <scheme val="minor"/>
      </rPr>
      <t>Core Feature Set:</t>
    </r>
    <r>
      <rPr>
        <sz val="11"/>
        <color theme="1"/>
        <rFont val="Aptos Narrow"/>
        <family val="2"/>
        <scheme val="minor"/>
      </rPr>
      <t xml:space="preserve">
/antinuke — Detects and halts destructive server actions including mass channel/role deletion and permission abuse
/antispam — Real-time message flood prevention and pattern-based spam detection
/ban &amp; /warn — Precision moderation with unique infraction IDs for full audit trails
/whitelist — Trusted user management to prevent false positives in automated enforcement
Auto Punish System — Configurable automatic kick and ban enforcement upon rule violations
Verification System — Bot/raid detection with customizable challenge mechanisms
Real-Time Logging &amp; Alerts — Instant server-wide security event monitoring</t>
    </r>
  </si>
  <si>
    <t>Competitive Advantage</t>
  </si>
  <si>
    <t>RestoreX combines anti-nuke, anti-raid, and full-stack moderation into a single cohesive bot, eliminating the need for multiple bots and reducing server complexity while increasing security coverage.</t>
  </si>
  <si>
    <t>STARTUP COSTS &amp; INITIAL INVESTMENT</t>
  </si>
  <si>
    <t>Cost Item</t>
  </si>
  <si>
    <t>Category</t>
  </si>
  <si>
    <t>Domain Resgitration</t>
  </si>
  <si>
    <t>Bot Dashboard</t>
  </si>
  <si>
    <t>Branding Fee</t>
  </si>
  <si>
    <t>Security Audit</t>
  </si>
  <si>
    <t>Landing Page</t>
  </si>
  <si>
    <t>Marketing</t>
  </si>
  <si>
    <t>Infrastructure</t>
  </si>
  <si>
    <t>Development</t>
  </si>
  <si>
    <t>Platform</t>
  </si>
  <si>
    <t>Security</t>
  </si>
  <si>
    <t>Branding</t>
  </si>
  <si>
    <t>Discord  Fee</t>
  </si>
  <si>
    <t>Total Estimated One-Time Cost</t>
  </si>
  <si>
    <t>MONTHLY OPERATING COSTS (Recurring )</t>
  </si>
  <si>
    <t xml:space="preserve">Monthly Cost </t>
  </si>
  <si>
    <t>Notes</t>
  </si>
  <si>
    <t>Expense</t>
  </si>
  <si>
    <t>Bot Hosting (VPS)</t>
  </si>
  <si>
    <t>Database</t>
  </si>
  <si>
    <t>Redis Cache</t>
  </si>
  <si>
    <t>CDN / Static Assets</t>
  </si>
  <si>
    <t>Domain &amp; SSL</t>
  </si>
  <si>
    <t>Uptime Monitoring</t>
  </si>
  <si>
    <t>Email (Transactional)</t>
  </si>
  <si>
    <t>Discord API</t>
  </si>
  <si>
    <t>Developer Tools</t>
  </si>
  <si>
    <t xml:space="preserve">Total </t>
  </si>
  <si>
    <t>Total Monthly Burn Rate</t>
  </si>
  <si>
    <t>REVENUE MODEL &amp; PRICING TIERS</t>
  </si>
  <si>
    <t>Subscription Pricing Structure</t>
  </si>
  <si>
    <t>Plan</t>
  </si>
  <si>
    <t>Target</t>
  </si>
  <si>
    <t>Price /m</t>
  </si>
  <si>
    <t>Free</t>
  </si>
  <si>
    <t>Starter</t>
  </si>
  <si>
    <t>Pro</t>
  </si>
  <si>
    <t>Enterprise</t>
  </si>
  <si>
    <t>Lifetime</t>
  </si>
  <si>
    <t>Small</t>
  </si>
  <si>
    <t>Growing</t>
  </si>
  <si>
    <t>Large</t>
  </si>
  <si>
    <t>Orgs</t>
  </si>
  <si>
    <t>EAs</t>
  </si>
  <si>
    <t>Basic /warn, /ban, limited antinuke</t>
  </si>
  <si>
    <t>Full antinuke, antispam, logging</t>
  </si>
  <si>
    <t>All features + auto-punish + priority support</t>
  </si>
  <si>
    <t>White-glove setup, SLA uptime, dedicated support</t>
  </si>
  <si>
    <t>Pro features permanently, limited slots</t>
  </si>
  <si>
    <t>Estimated Cost</t>
  </si>
  <si>
    <t>Additional Revenue Streams</t>
  </si>
  <si>
    <t xml:space="preserve">Premium Commands: </t>
  </si>
  <si>
    <t>Unlock advanced /whitelist rules &amp; custom auto-punish thresholds</t>
  </si>
  <si>
    <t xml:space="preserve">Custom Bot Builds: </t>
  </si>
  <si>
    <t>White-label RestoreX for enterprises needing tailored moderation bots</t>
  </si>
  <si>
    <t>Tool Name</t>
  </si>
  <si>
    <t>Project Links</t>
  </si>
  <si>
    <r>
      <rPr>
        <b/>
        <sz val="11"/>
        <color theme="1"/>
        <rFont val="Aptos Narrow"/>
        <family val="2"/>
        <scheme val="minor"/>
      </rPr>
      <t>Website</t>
    </r>
    <r>
      <rPr>
        <sz val="11"/>
        <color theme="1"/>
        <rFont val="Aptos Narrow"/>
        <family val="2"/>
        <scheme val="minor"/>
      </rPr>
      <t xml:space="preserve">: https://restorex.ddns.net/RestoreX
</t>
    </r>
    <r>
      <rPr>
        <b/>
        <sz val="11"/>
        <color theme="1"/>
        <rFont val="Aptos Narrow"/>
        <family val="2"/>
        <scheme val="minor"/>
      </rPr>
      <t>Discord Page</t>
    </r>
    <r>
      <rPr>
        <sz val="11"/>
        <color theme="1"/>
        <rFont val="Aptos Narrow"/>
        <family val="2"/>
        <scheme val="minor"/>
      </rPr>
      <t xml:space="preserve">: https://discord.com/discovery/applications/1493675846773379142
</t>
    </r>
    <r>
      <rPr>
        <b/>
        <sz val="11"/>
        <color theme="1"/>
        <rFont val="Aptos Narrow"/>
        <family val="2"/>
        <scheme val="minor"/>
      </rPr>
      <t>Dashboard</t>
    </r>
    <r>
      <rPr>
        <sz val="11"/>
        <color theme="1"/>
        <rFont val="Aptos Narrow"/>
        <family val="2"/>
        <scheme val="minor"/>
      </rPr>
      <t xml:space="preserve">: https://restorex.ddns.net/RestoreX/dashboard.html
</t>
    </r>
    <r>
      <rPr>
        <b/>
        <sz val="11"/>
        <color theme="1"/>
        <rFont val="Aptos Narrow"/>
        <family val="2"/>
        <scheme val="minor"/>
      </rPr>
      <t>Terms of Service</t>
    </r>
    <r>
      <rPr>
        <sz val="11"/>
        <color theme="1"/>
        <rFont val="Aptos Narrow"/>
        <family val="2"/>
        <scheme val="minor"/>
      </rPr>
      <t xml:space="preserve">: https://restorex.ddns.net/RestoreX/terms.html
</t>
    </r>
    <r>
      <rPr>
        <b/>
        <sz val="11"/>
        <color theme="1"/>
        <rFont val="Aptos Narrow"/>
        <family val="2"/>
        <scheme val="minor"/>
      </rPr>
      <t>Privacy Policy</t>
    </r>
    <r>
      <rPr>
        <sz val="11"/>
        <color theme="1"/>
        <rFont val="Aptos Narrow"/>
        <family val="2"/>
        <scheme val="minor"/>
      </rPr>
      <t xml:space="preserve">: https://restorex.ddns.net/RestoreX/privacy.html
</t>
    </r>
    <r>
      <rPr>
        <b/>
        <sz val="11"/>
        <color theme="1"/>
        <rFont val="Aptos Narrow"/>
        <family val="2"/>
        <scheme val="minor"/>
      </rPr>
      <t>Contact Page</t>
    </r>
    <r>
      <rPr>
        <sz val="11"/>
        <color theme="1"/>
        <rFont val="Aptos Narrow"/>
        <family val="2"/>
        <scheme val="minor"/>
      </rPr>
      <t>: https://restorex.ddns.net/RestoreX/contact.html</t>
    </r>
  </si>
  <si>
    <t>Made by Anjani Kumar Mishra  |  inakm.github.io</t>
  </si>
  <si>
    <t>REVENUE PROJECTIONS (18-MONTH FORECAST)</t>
  </si>
  <si>
    <t>Month 1–3 (Beta): 50–200 servers, primarily Free tier, limited monetization</t>
  </si>
  <si>
    <t>Month 4–6 (Launch): 200–600 servers, 5% conversion to paid tiers</t>
  </si>
  <si>
    <t>Month 7–12 (Growth): 600–2,000 servers, 8–12% paid conversion</t>
  </si>
  <si>
    <t>Month 13–18 (Scale): 2,000–5,000 servers, 12–18% paid conversion</t>
  </si>
  <si>
    <t>Growth Assumptions:</t>
  </si>
  <si>
    <t>Monthly Revenue Forecast</t>
  </si>
  <si>
    <t>Estimated Server</t>
  </si>
  <si>
    <t>Paid Subscribers</t>
  </si>
  <si>
    <t>Est. Monthly Revenue</t>
  </si>
  <si>
    <t>Period (m)</t>
  </si>
  <si>
    <t>1-2m</t>
  </si>
  <si>
    <t>4-6m</t>
  </si>
  <si>
    <t>7-9m</t>
  </si>
  <si>
    <t>10-12m</t>
  </si>
  <si>
    <t>13-16m</t>
  </si>
  <si>
    <t>16-18m</t>
  </si>
  <si>
    <t>3rd m</t>
  </si>
  <si>
    <t>50-150</t>
  </si>
  <si>
    <t>150-200</t>
  </si>
  <si>
    <t>200-500</t>
  </si>
  <si>
    <t>500-890</t>
  </si>
  <si>
    <t>890-1200</t>
  </si>
  <si>
    <t>1200-1800</t>
  </si>
  <si>
    <t>1800+</t>
  </si>
  <si>
    <t>15-55</t>
  </si>
  <si>
    <t>55-70</t>
  </si>
  <si>
    <t>70-130</t>
  </si>
  <si>
    <t>130-260</t>
  </si>
  <si>
    <t>260-340</t>
  </si>
  <si>
    <t>0-5</t>
  </si>
  <si>
    <t>0-45</t>
  </si>
  <si>
    <t>20-100</t>
  </si>
  <si>
    <t>60-120</t>
  </si>
  <si>
    <t>90-160</t>
  </si>
  <si>
    <t>170-250</t>
  </si>
  <si>
    <t>430-690</t>
  </si>
  <si>
    <t>870-1000</t>
  </si>
  <si>
    <t>ARR =</t>
  </si>
  <si>
    <t>12-Month Revenue Target</t>
  </si>
  <si>
    <t>BREAK-EVEN ANALYSIS</t>
  </si>
  <si>
    <t>GROWTH STRATEGY &amp; MARKETING BUDGET</t>
  </si>
  <si>
    <t>Initial Marketing Budget (Months 1–6)</t>
  </si>
  <si>
    <t>Distribution Channels</t>
  </si>
  <si>
    <t>Channel</t>
  </si>
  <si>
    <t>Monthly Budget</t>
  </si>
  <si>
    <t>Expected Outcome</t>
  </si>
  <si>
    <t xml:space="preserve">Top.gg Auction </t>
  </si>
  <si>
    <t>Discord Paid Ads</t>
  </si>
  <si>
    <t>Other Bot Directories</t>
  </si>
  <si>
    <t>Content Marketing</t>
  </si>
  <si>
    <t>Incentive-Based GW</t>
  </si>
  <si>
    <t>Bot Directories</t>
  </si>
  <si>
    <t>Social Media &amp; Content Marketing</t>
  </si>
  <si>
    <t>Discord Verified Bot Program: Apply once 100+ servers milestone is hit</t>
  </si>
  <si>
    <t>Technical SEO &amp; Discovery Optimization</t>
  </si>
  <si>
    <t>Financial Snapshot</t>
  </si>
  <si>
    <t>Startup Cost</t>
  </si>
  <si>
    <t>Montly Burn (Ph 1)</t>
  </si>
  <si>
    <t>Break-Even Threshold</t>
  </si>
  <si>
    <t>18-Month Revenue Target</t>
  </si>
  <si>
    <t>Growth Targets</t>
  </si>
  <si>
    <t>Month 1-3</t>
  </si>
  <si>
    <t>Month 6</t>
  </si>
  <si>
    <t>Month 12</t>
  </si>
  <si>
    <t>Month 18</t>
  </si>
  <si>
    <t>First 10 paying users</t>
  </si>
  <si>
    <r>
      <rPr>
        <b/>
        <sz val="11"/>
        <color theme="1"/>
        <rFont val="Aptos Narrow"/>
        <family val="2"/>
        <scheme val="minor"/>
      </rPr>
      <t>RestoreX</t>
    </r>
    <r>
      <rPr>
        <sz val="11"/>
        <color theme="1"/>
        <rFont val="Aptos Narrow"/>
        <family val="2"/>
        <scheme val="minor"/>
      </rPr>
      <t xml:space="preserve"> is a next-generation security and moderation-focused Discord bot engineered to protect communities from raids, nukes, and malicious activity in real-time. Designed for both growing servers and large enterprise-grade communities, RestoreX delivers advanced protection systems backed by a powerful and intuitive moderation toolkit.</t>
    </r>
  </si>
  <si>
    <t>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</si>
</sst>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7" borderId="4" applyNumberFormat="0" applyFont="0" applyAlignment="0" applyProtection="0"/>
  </cellStyleXfs>
  <cellXfs count="99">
    <xf numFmtId="0" fontId="0" fillId="0" borderId="0" xfId="0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horizontal="left"/>
    </xf>
    <xf numFmtId="16" fontId="0" fillId="0" borderId="1" xfId="0" applyNumberFormat="1" applyBorder="1" applyAlignment="1">
      <alignment horizontal="left"/>
    </xf>
    <xf numFmtId="0" fontId="1" fillId="3" borderId="0" xfId="0" applyFont="1" applyFill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6" xfId="0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3" borderId="8" xfId="0" applyFill="1" applyBorder="1"/>
    <xf numFmtId="0" fontId="0" fillId="3" borderId="9" xfId="0" applyFill="1" applyBorder="1"/>
    <xf numFmtId="0" fontId="0" fillId="4" borderId="8" xfId="0" applyFill="1" applyBorder="1"/>
    <xf numFmtId="0" fontId="0" fillId="4" borderId="0" xfId="0" applyFill="1"/>
    <xf numFmtId="0" fontId="0" fillId="4" borderId="9" xfId="0" applyFill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7" borderId="4" xfId="1" applyFont="1" applyAlignment="1">
      <alignment horizontal="center"/>
    </xf>
    <xf numFmtId="0" fontId="0" fillId="0" borderId="0" xfId="0" applyAlignment="1">
      <alignment horizontal="center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0" fillId="3" borderId="10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0" fillId="4" borderId="10" xfId="0" applyFill="1" applyBorder="1" applyAlignment="1">
      <alignment horizontal="left" wrapText="1"/>
    </xf>
    <xf numFmtId="0" fontId="0" fillId="4" borderId="11" xfId="0" applyFill="1" applyBorder="1" applyAlignment="1">
      <alignment horizontal="left" wrapText="1"/>
    </xf>
    <xf numFmtId="0" fontId="0" fillId="4" borderId="12" xfId="0" applyFill="1" applyBorder="1" applyAlignment="1">
      <alignment horizontal="left" wrapText="1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1" fillId="5" borderId="0" xfId="0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6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17" fontId="0" fillId="0" borderId="2" xfId="0" quotePrefix="1" applyNumberFormat="1" applyBorder="1" applyAlignment="1">
      <alignment horizontal="left"/>
    </xf>
    <xf numFmtId="17" fontId="0" fillId="0" borderId="3" xfId="0" applyNumberForma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8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9" xfId="0" applyNumberFormat="1" applyBorder="1" applyAlignment="1">
      <alignment horizontal="righ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64" fontId="0" fillId="0" borderId="6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89954</xdr:colOff>
      <xdr:row>0</xdr:row>
      <xdr:rowOff>180474</xdr:rowOff>
    </xdr:from>
    <xdr:to>
      <xdr:col>10</xdr:col>
      <xdr:colOff>413551</xdr:colOff>
      <xdr:row>8</xdr:row>
      <xdr:rowOff>8918</xdr:rowOff>
    </xdr:to>
    <xdr:pic>
      <xdr:nvPicPr>
        <xdr:cNvPr id="2" name="Picture 1" descr="RestoreX Bot Logo">
          <a:extLst>
            <a:ext uri="{FF2B5EF4-FFF2-40B4-BE49-F238E27FC236}">
              <a16:creationId xmlns:a16="http://schemas.microsoft.com/office/drawing/2014/main" id="{F7C16357-AAD4-7206-A2F3-B6AD0561A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7975" y="180474"/>
          <a:ext cx="1290665" cy="1304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174015</xdr:colOff>
      <xdr:row>11</xdr:row>
      <xdr:rowOff>35968</xdr:rowOff>
    </xdr:from>
    <xdr:to>
      <xdr:col>14</xdr:col>
      <xdr:colOff>601978</xdr:colOff>
      <xdr:row>17</xdr:row>
      <xdr:rowOff>269387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323FC2-7D77-548E-B06B-DB5405A54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2103" y="1974586"/>
          <a:ext cx="3923974" cy="2457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10</xdr:col>
      <xdr:colOff>36946</xdr:colOff>
      <xdr:row>7</xdr:row>
      <xdr:rowOff>183277</xdr:rowOff>
    </xdr:to>
    <xdr:pic>
      <xdr:nvPicPr>
        <xdr:cNvPr id="2" name="Picture 1" descr="RestoreX Bot Logo">
          <a:extLst>
            <a:ext uri="{FF2B5EF4-FFF2-40B4-BE49-F238E27FC236}">
              <a16:creationId xmlns:a16="http://schemas.microsoft.com/office/drawing/2014/main" id="{E5A5283A-57C2-B263-49B8-17A6BDB64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7055" y="184727"/>
          <a:ext cx="1279236" cy="129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9626</xdr:colOff>
      <xdr:row>0</xdr:row>
      <xdr:rowOff>140369</xdr:rowOff>
    </xdr:from>
    <xdr:to>
      <xdr:col>10</xdr:col>
      <xdr:colOff>81854</xdr:colOff>
      <xdr:row>8</xdr:row>
      <xdr:rowOff>1</xdr:rowOff>
    </xdr:to>
    <xdr:pic>
      <xdr:nvPicPr>
        <xdr:cNvPr id="2" name="Picture 1" descr="RestoreX Bot Logo">
          <a:extLst>
            <a:ext uri="{FF2B5EF4-FFF2-40B4-BE49-F238E27FC236}">
              <a16:creationId xmlns:a16="http://schemas.microsoft.com/office/drawing/2014/main" id="{AF2A8B67-9C63-4236-A903-74C98DD49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3310" y="140369"/>
          <a:ext cx="1288754" cy="1303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10</xdr:col>
      <xdr:colOff>68496</xdr:colOff>
      <xdr:row>8</xdr:row>
      <xdr:rowOff>31107</xdr:rowOff>
    </xdr:to>
    <xdr:pic>
      <xdr:nvPicPr>
        <xdr:cNvPr id="3" name="Picture 2" descr="RestoreX Bot Logo">
          <a:extLst>
            <a:ext uri="{FF2B5EF4-FFF2-40B4-BE49-F238E27FC236}">
              <a16:creationId xmlns:a16="http://schemas.microsoft.com/office/drawing/2014/main" id="{04DF4CF7-0096-45A3-B5D6-4ED67624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2821" y="182359"/>
          <a:ext cx="1292906" cy="130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7620</xdr:rowOff>
    </xdr:from>
    <xdr:to>
      <xdr:col>10</xdr:col>
      <xdr:colOff>45720</xdr:colOff>
      <xdr:row>8</xdr:row>
      <xdr:rowOff>6776</xdr:rowOff>
    </xdr:to>
    <xdr:pic>
      <xdr:nvPicPr>
        <xdr:cNvPr id="2" name="Picture 1" descr="RestoreX Bot Logo">
          <a:extLst>
            <a:ext uri="{FF2B5EF4-FFF2-40B4-BE49-F238E27FC236}">
              <a16:creationId xmlns:a16="http://schemas.microsoft.com/office/drawing/2014/main" id="{384BFBF1-F9DE-46DC-91DD-B6D877EDE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190500"/>
          <a:ext cx="1264920" cy="1279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516D-6B39-435E-A901-13CF30784D05}">
  <dimension ref="B2:P30"/>
  <sheetViews>
    <sheetView showGridLines="0" tabSelected="1" topLeftCell="A32" zoomScale="136" workbookViewId="0">
      <selection activeCell="T53" sqref="T53"/>
    </sheetView>
  </sheetViews>
  <sheetFormatPr defaultRowHeight="14.4" x14ac:dyDescent="0.3"/>
  <cols>
    <col min="1" max="1" width="2.33203125" customWidth="1"/>
    <col min="7" max="7" width="11.109375" customWidth="1"/>
    <col min="8" max="8" width="1.33203125" customWidth="1"/>
    <col min="10" max="10" width="3.88671875" customWidth="1"/>
  </cols>
  <sheetData>
    <row r="2" spans="2:15" x14ac:dyDescent="0.3">
      <c r="B2" s="30" t="s">
        <v>0</v>
      </c>
      <c r="C2" s="31"/>
      <c r="D2" s="31"/>
      <c r="E2" s="31"/>
      <c r="F2" s="31"/>
      <c r="G2" s="32"/>
    </row>
    <row r="3" spans="2:15" x14ac:dyDescent="0.3">
      <c r="B3" s="33"/>
      <c r="C3" s="34"/>
      <c r="D3" s="34"/>
      <c r="E3" s="34"/>
      <c r="F3" s="34"/>
      <c r="G3" s="35"/>
    </row>
    <row r="4" spans="2:15" x14ac:dyDescent="0.3">
      <c r="B4" s="33"/>
      <c r="C4" s="34"/>
      <c r="D4" s="34"/>
      <c r="E4" s="34"/>
      <c r="F4" s="34"/>
      <c r="G4" s="35"/>
    </row>
    <row r="5" spans="2:15" x14ac:dyDescent="0.3">
      <c r="B5" s="33"/>
      <c r="C5" s="34"/>
      <c r="D5" s="34"/>
      <c r="E5" s="34"/>
      <c r="F5" s="34"/>
      <c r="G5" s="35"/>
    </row>
    <row r="6" spans="2:15" x14ac:dyDescent="0.3">
      <c r="B6" s="36" t="s">
        <v>1</v>
      </c>
      <c r="C6" s="37"/>
      <c r="D6" s="37"/>
      <c r="E6" s="37"/>
      <c r="F6" s="37"/>
      <c r="G6" s="38"/>
    </row>
    <row r="7" spans="2:15" x14ac:dyDescent="0.3">
      <c r="B7" s="39" t="s">
        <v>2</v>
      </c>
      <c r="C7" s="40"/>
      <c r="D7" s="40"/>
      <c r="E7" s="40"/>
      <c r="F7" s="40"/>
      <c r="G7" s="41"/>
    </row>
    <row r="8" spans="2:15" x14ac:dyDescent="0.3">
      <c r="B8" s="42" t="s">
        <v>3</v>
      </c>
      <c r="C8" s="43"/>
      <c r="D8" s="43"/>
      <c r="E8" s="43"/>
      <c r="F8" s="43"/>
      <c r="G8" s="44"/>
    </row>
    <row r="9" spans="2:15" x14ac:dyDescent="0.3">
      <c r="B9" s="48"/>
      <c r="C9" s="48"/>
    </row>
    <row r="10" spans="2:15" x14ac:dyDescent="0.3">
      <c r="B10" s="40" t="s">
        <v>5</v>
      </c>
      <c r="C10" s="40"/>
      <c r="D10" s="40"/>
      <c r="E10" s="40"/>
      <c r="F10" s="40"/>
      <c r="G10" s="40"/>
      <c r="I10" s="40" t="s">
        <v>4</v>
      </c>
      <c r="J10" s="40"/>
      <c r="K10" s="40"/>
      <c r="L10" s="40"/>
      <c r="M10" s="40"/>
      <c r="N10" s="40"/>
      <c r="O10" s="40"/>
    </row>
    <row r="11" spans="2:15" ht="7.2" customHeight="1" x14ac:dyDescent="0.3">
      <c r="B11" s="48"/>
      <c r="C11" s="48"/>
      <c r="D11" s="48"/>
      <c r="E11" s="48"/>
      <c r="F11" s="48"/>
      <c r="G11" s="48"/>
    </row>
    <row r="12" spans="2:15" ht="87" customHeight="1" x14ac:dyDescent="0.3">
      <c r="B12" s="45" t="s">
        <v>141</v>
      </c>
      <c r="C12" s="45"/>
      <c r="D12" s="45"/>
      <c r="E12" s="45"/>
      <c r="F12" s="45"/>
      <c r="G12" s="45"/>
    </row>
    <row r="13" spans="2:15" ht="6.6" customHeight="1" x14ac:dyDescent="0.3"/>
    <row r="14" spans="2:15" ht="45.6" customHeight="1" x14ac:dyDescent="0.3">
      <c r="B14" s="45" t="s">
        <v>6</v>
      </c>
      <c r="C14" s="45"/>
      <c r="D14" s="45"/>
      <c r="E14" s="45"/>
      <c r="F14" s="45"/>
      <c r="G14" s="45"/>
    </row>
    <row r="16" spans="2:15" x14ac:dyDescent="0.3">
      <c r="B16" s="55" t="s">
        <v>7</v>
      </c>
      <c r="C16" s="56"/>
      <c r="D16" s="56"/>
      <c r="E16" s="56"/>
      <c r="F16" s="56"/>
      <c r="G16" s="57"/>
    </row>
    <row r="17" spans="2:16" ht="7.2" customHeight="1" x14ac:dyDescent="0.3">
      <c r="B17" s="22"/>
      <c r="C17" s="23"/>
      <c r="D17" s="23"/>
      <c r="E17" s="23"/>
      <c r="F17" s="23"/>
      <c r="G17" s="24"/>
    </row>
    <row r="18" spans="2:16" ht="55.8" customHeight="1" x14ac:dyDescent="0.3">
      <c r="B18" s="58" t="s">
        <v>8</v>
      </c>
      <c r="C18" s="59"/>
      <c r="D18" s="59"/>
      <c r="E18" s="59"/>
      <c r="F18" s="59"/>
      <c r="G18" s="60"/>
    </row>
    <row r="20" spans="2:16" x14ac:dyDescent="0.3">
      <c r="B20" s="40" t="s">
        <v>9</v>
      </c>
      <c r="C20" s="40"/>
      <c r="D20" s="40"/>
      <c r="E20" s="40"/>
      <c r="F20" s="40"/>
      <c r="G20" s="40"/>
      <c r="I20" s="40" t="s">
        <v>71</v>
      </c>
      <c r="J20" s="40"/>
      <c r="K20" s="40"/>
      <c r="L20" s="40"/>
      <c r="M20" s="40"/>
      <c r="N20" s="40"/>
      <c r="O20" s="40"/>
    </row>
    <row r="22" spans="2:16" ht="218.4" customHeight="1" x14ac:dyDescent="0.3">
      <c r="B22" s="45" t="s">
        <v>10</v>
      </c>
      <c r="C22" s="45"/>
      <c r="D22" s="45"/>
      <c r="E22" s="45"/>
      <c r="F22" s="45"/>
      <c r="G22" s="45"/>
      <c r="I22" s="45" t="s">
        <v>72</v>
      </c>
      <c r="J22" s="46"/>
      <c r="K22" s="46"/>
      <c r="L22" s="46"/>
      <c r="M22" s="46"/>
      <c r="N22" s="46"/>
      <c r="O22" s="46"/>
    </row>
    <row r="23" spans="2:16" ht="7.8" customHeight="1" x14ac:dyDescent="0.3"/>
    <row r="24" spans="2:16" x14ac:dyDescent="0.3">
      <c r="B24" s="49" t="s">
        <v>11</v>
      </c>
      <c r="C24" s="50"/>
      <c r="D24" s="50"/>
      <c r="E24" s="50"/>
      <c r="F24" s="50"/>
      <c r="G24" s="51"/>
    </row>
    <row r="25" spans="2:16" ht="6.6" customHeight="1" x14ac:dyDescent="0.3">
      <c r="B25" s="20"/>
      <c r="C25" s="1"/>
      <c r="D25" s="1"/>
      <c r="E25" s="1"/>
      <c r="F25" s="1"/>
      <c r="G25" s="21"/>
    </row>
    <row r="26" spans="2:16" ht="43.8" customHeight="1" x14ac:dyDescent="0.3">
      <c r="B26" s="52" t="s">
        <v>12</v>
      </c>
      <c r="C26" s="53"/>
      <c r="D26" s="53"/>
      <c r="E26" s="53"/>
      <c r="F26" s="53"/>
      <c r="G26" s="54"/>
    </row>
    <row r="30" spans="2:16" x14ac:dyDescent="0.3">
      <c r="B30" s="47" t="s">
        <v>73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</sheetData>
  <mergeCells count="19">
    <mergeCell ref="B18:G18"/>
    <mergeCell ref="I10:O10"/>
    <mergeCell ref="I20:O20"/>
    <mergeCell ref="I22:O22"/>
    <mergeCell ref="B30:P30"/>
    <mergeCell ref="B2:G5"/>
    <mergeCell ref="B6:G6"/>
    <mergeCell ref="B7:G7"/>
    <mergeCell ref="B8:G8"/>
    <mergeCell ref="B9:C9"/>
    <mergeCell ref="B20:G20"/>
    <mergeCell ref="B22:G22"/>
    <mergeCell ref="B24:G24"/>
    <mergeCell ref="B26:G26"/>
    <mergeCell ref="B10:G10"/>
    <mergeCell ref="B11:G11"/>
    <mergeCell ref="B12:G12"/>
    <mergeCell ref="B14:G14"/>
    <mergeCell ref="B16:G16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CF0A-B28A-4F57-8452-DFE5A338C55E}">
  <dimension ref="B2:P33"/>
  <sheetViews>
    <sheetView showGridLines="0" topLeftCell="A4" zoomScale="165" workbookViewId="0">
      <selection activeCell="P3" sqref="P3"/>
    </sheetView>
  </sheetViews>
  <sheetFormatPr defaultRowHeight="14.4" x14ac:dyDescent="0.3"/>
  <cols>
    <col min="1" max="1" width="3.6640625" customWidth="1"/>
    <col min="8" max="8" width="1.77734375" customWidth="1"/>
    <col min="9" max="9" width="9.21875" bestFit="1" customWidth="1"/>
  </cols>
  <sheetData>
    <row r="2" spans="2:16" x14ac:dyDescent="0.3">
      <c r="B2" s="30" t="s">
        <v>0</v>
      </c>
      <c r="C2" s="31"/>
      <c r="D2" s="31"/>
      <c r="E2" s="31"/>
      <c r="F2" s="31"/>
      <c r="G2" s="32"/>
    </row>
    <row r="3" spans="2:16" x14ac:dyDescent="0.3">
      <c r="B3" s="33"/>
      <c r="C3" s="34"/>
      <c r="D3" s="34"/>
      <c r="E3" s="34"/>
      <c r="F3" s="34"/>
      <c r="G3" s="35"/>
    </row>
    <row r="4" spans="2:16" x14ac:dyDescent="0.3">
      <c r="B4" s="33"/>
      <c r="C4" s="34"/>
      <c r="D4" s="34"/>
      <c r="E4" s="34"/>
      <c r="F4" s="34"/>
      <c r="G4" s="35"/>
    </row>
    <row r="5" spans="2:16" x14ac:dyDescent="0.3">
      <c r="B5" s="33"/>
      <c r="C5" s="34"/>
      <c r="D5" s="34"/>
      <c r="E5" s="34"/>
      <c r="F5" s="34"/>
      <c r="G5" s="35"/>
    </row>
    <row r="6" spans="2:16" x14ac:dyDescent="0.3">
      <c r="B6" s="36" t="s">
        <v>1</v>
      </c>
      <c r="C6" s="37"/>
      <c r="D6" s="37"/>
      <c r="E6" s="37"/>
      <c r="F6" s="37"/>
      <c r="G6" s="38"/>
    </row>
    <row r="7" spans="2:16" x14ac:dyDescent="0.3">
      <c r="B7" s="39" t="s">
        <v>2</v>
      </c>
      <c r="C7" s="40"/>
      <c r="D7" s="40"/>
      <c r="E7" s="40"/>
      <c r="F7" s="40"/>
      <c r="G7" s="41"/>
    </row>
    <row r="8" spans="2:16" x14ac:dyDescent="0.3">
      <c r="B8" s="42" t="s">
        <v>3</v>
      </c>
      <c r="C8" s="43"/>
      <c r="D8" s="43"/>
      <c r="E8" s="43"/>
      <c r="F8" s="43"/>
      <c r="G8" s="44"/>
    </row>
    <row r="10" spans="2:16" x14ac:dyDescent="0.3">
      <c r="B10" s="69" t="s">
        <v>13</v>
      </c>
      <c r="C10" s="69"/>
      <c r="D10" s="69"/>
      <c r="E10" s="69"/>
      <c r="F10" s="69"/>
      <c r="G10" s="69"/>
      <c r="I10" s="73" t="s">
        <v>44</v>
      </c>
      <c r="J10" s="73"/>
      <c r="K10" s="73"/>
      <c r="L10" s="73"/>
      <c r="M10" s="73"/>
      <c r="N10" s="73"/>
      <c r="O10" s="73"/>
    </row>
    <row r="11" spans="2:16" x14ac:dyDescent="0.3">
      <c r="B11" s="29" t="s">
        <v>14</v>
      </c>
      <c r="C11" s="29"/>
      <c r="D11" s="29" t="s">
        <v>15</v>
      </c>
      <c r="E11" s="29"/>
      <c r="F11" s="29" t="s">
        <v>64</v>
      </c>
      <c r="G11" s="29"/>
      <c r="I11" s="74" t="s">
        <v>45</v>
      </c>
      <c r="J11" s="74"/>
      <c r="K11" s="74"/>
      <c r="L11" s="74"/>
      <c r="M11" s="74"/>
      <c r="N11" s="74"/>
      <c r="O11" s="74"/>
    </row>
    <row r="12" spans="2:16" x14ac:dyDescent="0.3">
      <c r="B12" s="25" t="s">
        <v>16</v>
      </c>
      <c r="C12" s="25"/>
      <c r="D12" s="67" t="s">
        <v>22</v>
      </c>
      <c r="E12" s="67"/>
      <c r="F12" s="68">
        <v>15</v>
      </c>
      <c r="G12" s="68"/>
      <c r="I12" s="4" t="s">
        <v>46</v>
      </c>
      <c r="J12" s="4" t="s">
        <v>47</v>
      </c>
      <c r="K12" s="4" t="s">
        <v>48</v>
      </c>
      <c r="L12" s="75" t="s">
        <v>31</v>
      </c>
      <c r="M12" s="75"/>
      <c r="N12" s="75"/>
      <c r="O12" s="75"/>
    </row>
    <row r="13" spans="2:16" x14ac:dyDescent="0.3">
      <c r="B13" s="25" t="s">
        <v>17</v>
      </c>
      <c r="C13" s="25"/>
      <c r="D13" s="67" t="s">
        <v>23</v>
      </c>
      <c r="E13" s="67"/>
      <c r="F13" s="68">
        <v>10</v>
      </c>
      <c r="G13" s="68"/>
      <c r="I13" s="5" t="s">
        <v>49</v>
      </c>
      <c r="J13" s="5" t="s">
        <v>54</v>
      </c>
      <c r="K13" s="6">
        <v>0</v>
      </c>
      <c r="L13" s="46" t="s">
        <v>59</v>
      </c>
      <c r="M13" s="46"/>
      <c r="N13" s="46"/>
      <c r="O13" s="46"/>
    </row>
    <row r="14" spans="2:16" x14ac:dyDescent="0.3">
      <c r="B14" s="25" t="s">
        <v>18</v>
      </c>
      <c r="C14" s="25"/>
      <c r="D14" s="67" t="s">
        <v>26</v>
      </c>
      <c r="E14" s="67"/>
      <c r="F14" s="68">
        <v>0</v>
      </c>
      <c r="G14" s="68"/>
      <c r="I14" s="5" t="s">
        <v>50</v>
      </c>
      <c r="J14" s="5" t="s">
        <v>55</v>
      </c>
      <c r="K14" s="6">
        <v>3.99</v>
      </c>
      <c r="L14" s="46" t="s">
        <v>60</v>
      </c>
      <c r="M14" s="46"/>
      <c r="N14" s="46"/>
      <c r="O14" s="46"/>
    </row>
    <row r="15" spans="2:16" x14ac:dyDescent="0.3">
      <c r="B15" s="25" t="s">
        <v>19</v>
      </c>
      <c r="C15" s="25"/>
      <c r="D15" s="67" t="s">
        <v>25</v>
      </c>
      <c r="E15" s="67"/>
      <c r="F15" s="68">
        <v>0</v>
      </c>
      <c r="G15" s="68"/>
      <c r="I15" s="5" t="s">
        <v>51</v>
      </c>
      <c r="J15" s="5" t="s">
        <v>56</v>
      </c>
      <c r="K15" s="6">
        <v>8.99</v>
      </c>
      <c r="L15" s="48" t="s">
        <v>61</v>
      </c>
      <c r="M15" s="48"/>
      <c r="N15" s="48"/>
      <c r="O15" s="48"/>
    </row>
    <row r="16" spans="2:16" x14ac:dyDescent="0.3">
      <c r="B16" s="25" t="s">
        <v>20</v>
      </c>
      <c r="C16" s="25"/>
      <c r="D16" s="67" t="s">
        <v>21</v>
      </c>
      <c r="E16" s="67"/>
      <c r="F16" s="68">
        <v>0</v>
      </c>
      <c r="G16" s="68"/>
      <c r="I16" s="5" t="s">
        <v>52</v>
      </c>
      <c r="J16" s="5" t="s">
        <v>57</v>
      </c>
      <c r="K16" s="6">
        <v>24.99</v>
      </c>
      <c r="L16" s="46" t="s">
        <v>62</v>
      </c>
      <c r="M16" s="46"/>
      <c r="N16" s="46"/>
      <c r="O16" s="46"/>
      <c r="P16" s="46"/>
    </row>
    <row r="17" spans="2:15" x14ac:dyDescent="0.3">
      <c r="B17" s="25" t="s">
        <v>21</v>
      </c>
      <c r="C17" s="25"/>
      <c r="D17" s="67" t="s">
        <v>21</v>
      </c>
      <c r="E17" s="67"/>
      <c r="F17" s="68">
        <v>50</v>
      </c>
      <c r="G17" s="68"/>
      <c r="I17" s="5" t="s">
        <v>53</v>
      </c>
      <c r="J17" s="5" t="s">
        <v>58</v>
      </c>
      <c r="K17" s="6">
        <v>89.99</v>
      </c>
      <c r="L17" s="46" t="s">
        <v>63</v>
      </c>
      <c r="M17" s="46"/>
      <c r="N17" s="46"/>
      <c r="O17" s="46"/>
    </row>
    <row r="18" spans="2:15" x14ac:dyDescent="0.3">
      <c r="B18" s="25" t="s">
        <v>27</v>
      </c>
      <c r="C18" s="25"/>
      <c r="D18" s="67" t="s">
        <v>24</v>
      </c>
      <c r="E18" s="67"/>
      <c r="F18" s="68">
        <v>0</v>
      </c>
      <c r="G18" s="68"/>
    </row>
    <row r="19" spans="2:15" x14ac:dyDescent="0.3">
      <c r="B19" s="71" t="s">
        <v>28</v>
      </c>
      <c r="C19" s="71"/>
      <c r="D19" s="71"/>
      <c r="E19" s="71"/>
      <c r="F19" s="70">
        <f>SUM(F12:G18)</f>
        <v>75</v>
      </c>
      <c r="G19" s="70"/>
    </row>
    <row r="21" spans="2:15" x14ac:dyDescent="0.3">
      <c r="B21" s="69" t="s">
        <v>29</v>
      </c>
      <c r="C21" s="69"/>
      <c r="D21" s="69"/>
      <c r="E21" s="69"/>
      <c r="F21" s="69"/>
      <c r="G21" s="69"/>
      <c r="I21" s="73" t="s">
        <v>65</v>
      </c>
      <c r="J21" s="73"/>
      <c r="K21" s="73"/>
      <c r="L21" s="73"/>
      <c r="M21" s="73"/>
      <c r="N21" s="73"/>
      <c r="O21" s="73"/>
    </row>
    <row r="22" spans="2:15" x14ac:dyDescent="0.3">
      <c r="B22" s="29" t="s">
        <v>32</v>
      </c>
      <c r="C22" s="29"/>
      <c r="D22" s="29" t="s">
        <v>70</v>
      </c>
      <c r="E22" s="29"/>
      <c r="F22" s="29" t="s">
        <v>30</v>
      </c>
      <c r="G22" s="29"/>
    </row>
    <row r="23" spans="2:15" x14ac:dyDescent="0.3">
      <c r="B23" s="25" t="s">
        <v>33</v>
      </c>
      <c r="C23" s="25"/>
      <c r="D23" s="63"/>
      <c r="E23" s="64"/>
      <c r="F23" s="63"/>
      <c r="G23" s="64"/>
      <c r="I23" s="76" t="s">
        <v>66</v>
      </c>
      <c r="J23" s="76"/>
      <c r="K23" s="76"/>
      <c r="L23" s="76"/>
      <c r="M23" s="76"/>
      <c r="N23" s="76"/>
      <c r="O23" s="76"/>
    </row>
    <row r="24" spans="2:15" x14ac:dyDescent="0.3">
      <c r="B24" s="25" t="s">
        <v>34</v>
      </c>
      <c r="C24" s="25"/>
      <c r="D24" s="63"/>
      <c r="E24" s="64"/>
      <c r="F24" s="63"/>
      <c r="G24" s="64"/>
      <c r="I24" s="46" t="s">
        <v>67</v>
      </c>
      <c r="J24" s="46"/>
      <c r="K24" s="46"/>
      <c r="L24" s="46"/>
      <c r="M24" s="46"/>
      <c r="N24" s="46"/>
      <c r="O24" s="46"/>
    </row>
    <row r="25" spans="2:15" x14ac:dyDescent="0.3">
      <c r="B25" s="2" t="s">
        <v>35</v>
      </c>
      <c r="C25" s="2"/>
      <c r="D25" s="63"/>
      <c r="E25" s="64"/>
      <c r="F25" s="63"/>
      <c r="G25" s="64"/>
    </row>
    <row r="26" spans="2:15" x14ac:dyDescent="0.3">
      <c r="B26" s="25" t="s">
        <v>36</v>
      </c>
      <c r="C26" s="25"/>
      <c r="D26" s="63"/>
      <c r="E26" s="64"/>
      <c r="F26" s="63"/>
      <c r="G26" s="64"/>
      <c r="I26" s="75" t="s">
        <v>68</v>
      </c>
      <c r="J26" s="75"/>
      <c r="K26" s="75"/>
      <c r="L26" s="75"/>
      <c r="M26" s="75"/>
      <c r="N26" s="75"/>
      <c r="O26" s="75"/>
    </row>
    <row r="27" spans="2:15" x14ac:dyDescent="0.3">
      <c r="B27" s="2" t="s">
        <v>37</v>
      </c>
      <c r="C27" s="2"/>
      <c r="D27" s="63"/>
      <c r="E27" s="64"/>
      <c r="F27" s="63"/>
      <c r="G27" s="64"/>
      <c r="I27" s="46" t="s">
        <v>69</v>
      </c>
      <c r="J27" s="46"/>
      <c r="K27" s="46"/>
      <c r="L27" s="46"/>
      <c r="M27" s="46"/>
      <c r="N27" s="46"/>
      <c r="O27" s="46"/>
    </row>
    <row r="28" spans="2:15" x14ac:dyDescent="0.3">
      <c r="B28" s="25" t="s">
        <v>38</v>
      </c>
      <c r="C28" s="25"/>
      <c r="D28" s="63"/>
      <c r="E28" s="64"/>
      <c r="F28" s="63"/>
      <c r="G28" s="64"/>
    </row>
    <row r="29" spans="2:15" x14ac:dyDescent="0.3">
      <c r="B29" s="25" t="s">
        <v>39</v>
      </c>
      <c r="C29" s="25"/>
      <c r="D29" s="63"/>
      <c r="E29" s="64"/>
      <c r="F29" s="63"/>
      <c r="G29" s="64"/>
    </row>
    <row r="30" spans="2:15" x14ac:dyDescent="0.3">
      <c r="B30" s="25" t="s">
        <v>40</v>
      </c>
      <c r="C30" s="25"/>
      <c r="D30" s="63"/>
      <c r="E30" s="64"/>
      <c r="F30" s="63"/>
      <c r="G30" s="64"/>
    </row>
    <row r="31" spans="2:15" x14ac:dyDescent="0.3">
      <c r="B31" s="25" t="s">
        <v>41</v>
      </c>
      <c r="C31" s="25"/>
      <c r="D31" s="63"/>
      <c r="E31" s="64"/>
      <c r="F31" s="63"/>
      <c r="G31" s="64"/>
    </row>
    <row r="32" spans="2:15" x14ac:dyDescent="0.3">
      <c r="B32" s="61" t="s">
        <v>42</v>
      </c>
      <c r="C32" s="62"/>
      <c r="D32" s="65"/>
      <c r="E32" s="66"/>
      <c r="F32" s="63"/>
      <c r="G32" s="64"/>
    </row>
    <row r="33" spans="2:7" x14ac:dyDescent="0.3">
      <c r="B33" s="72" t="s">
        <v>43</v>
      </c>
      <c r="C33" s="72"/>
      <c r="D33" s="72"/>
      <c r="E33" s="72"/>
      <c r="F33" s="63"/>
      <c r="G33" s="64"/>
    </row>
  </sheetData>
  <mergeCells count="78">
    <mergeCell ref="F28:G28"/>
    <mergeCell ref="F27:G27"/>
    <mergeCell ref="D29:E29"/>
    <mergeCell ref="D28:E28"/>
    <mergeCell ref="I27:O27"/>
    <mergeCell ref="D27:E27"/>
    <mergeCell ref="I23:O23"/>
    <mergeCell ref="I26:O26"/>
    <mergeCell ref="D23:E23"/>
    <mergeCell ref="F23:G23"/>
    <mergeCell ref="I24:O24"/>
    <mergeCell ref="D24:E24"/>
    <mergeCell ref="D25:E25"/>
    <mergeCell ref="D26:E26"/>
    <mergeCell ref="F26:G26"/>
    <mergeCell ref="F24:G24"/>
    <mergeCell ref="F25:G25"/>
    <mergeCell ref="B33:E33"/>
    <mergeCell ref="I10:O10"/>
    <mergeCell ref="I11:O11"/>
    <mergeCell ref="L13:O13"/>
    <mergeCell ref="L14:O14"/>
    <mergeCell ref="L15:O15"/>
    <mergeCell ref="L16:P16"/>
    <mergeCell ref="L17:O17"/>
    <mergeCell ref="L12:O12"/>
    <mergeCell ref="B23:C23"/>
    <mergeCell ref="B24:C24"/>
    <mergeCell ref="B26:C26"/>
    <mergeCell ref="B28:C28"/>
    <mergeCell ref="B29:C29"/>
    <mergeCell ref="B30:C30"/>
    <mergeCell ref="I21:O21"/>
    <mergeCell ref="F19:G19"/>
    <mergeCell ref="B19:E19"/>
    <mergeCell ref="B21:G21"/>
    <mergeCell ref="B22:C22"/>
    <mergeCell ref="D22:E22"/>
    <mergeCell ref="F22:G22"/>
    <mergeCell ref="F14:G14"/>
    <mergeCell ref="F15:G15"/>
    <mergeCell ref="F16:G16"/>
    <mergeCell ref="F17:G17"/>
    <mergeCell ref="F18:G18"/>
    <mergeCell ref="D14:E14"/>
    <mergeCell ref="D16:E16"/>
    <mergeCell ref="D17:E17"/>
    <mergeCell ref="D18:E18"/>
    <mergeCell ref="B18:C18"/>
    <mergeCell ref="D15:E15"/>
    <mergeCell ref="B17:C17"/>
    <mergeCell ref="B2:G5"/>
    <mergeCell ref="B6:G6"/>
    <mergeCell ref="B7:G7"/>
    <mergeCell ref="B8:G8"/>
    <mergeCell ref="B10:G10"/>
    <mergeCell ref="F33:G33"/>
    <mergeCell ref="B11:C11"/>
    <mergeCell ref="D11:E11"/>
    <mergeCell ref="F11:G11"/>
    <mergeCell ref="D30:E30"/>
    <mergeCell ref="F30:G30"/>
    <mergeCell ref="F29:G29"/>
    <mergeCell ref="B12:C12"/>
    <mergeCell ref="B13:C13"/>
    <mergeCell ref="B14:C14"/>
    <mergeCell ref="B15:C15"/>
    <mergeCell ref="B16:C16"/>
    <mergeCell ref="D12:E12"/>
    <mergeCell ref="D13:E13"/>
    <mergeCell ref="F12:G12"/>
    <mergeCell ref="F13:G13"/>
    <mergeCell ref="B32:C32"/>
    <mergeCell ref="D31:E31"/>
    <mergeCell ref="F31:G31"/>
    <mergeCell ref="D32:E32"/>
    <mergeCell ref="F32:G32"/>
    <mergeCell ref="B31:C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42F5-02A3-4835-AF23-494405E7D033}">
  <dimension ref="B2:N26"/>
  <sheetViews>
    <sheetView showGridLines="0" zoomScale="141" workbookViewId="0">
      <selection activeCell="E15" sqref="E15:F15"/>
    </sheetView>
  </sheetViews>
  <sheetFormatPr defaultRowHeight="14.4" x14ac:dyDescent="0.3"/>
  <cols>
    <col min="1" max="1" width="2.109375" customWidth="1"/>
    <col min="2" max="2" width="9.77734375" bestFit="1" customWidth="1"/>
    <col min="3" max="3" width="11.21875" customWidth="1"/>
    <col min="7" max="7" width="19.21875" bestFit="1" customWidth="1"/>
    <col min="8" max="8" width="2.109375" customWidth="1"/>
    <col min="14" max="14" width="16.5546875" customWidth="1"/>
  </cols>
  <sheetData>
    <row r="2" spans="2:14" x14ac:dyDescent="0.3">
      <c r="B2" s="30" t="s">
        <v>0</v>
      </c>
      <c r="C2" s="31"/>
      <c r="D2" s="31"/>
      <c r="E2" s="31"/>
      <c r="F2" s="31"/>
      <c r="G2" s="32"/>
    </row>
    <row r="3" spans="2:14" x14ac:dyDescent="0.3">
      <c r="B3" s="33"/>
      <c r="C3" s="34"/>
      <c r="D3" s="34"/>
      <c r="E3" s="34"/>
      <c r="F3" s="34"/>
      <c r="G3" s="35"/>
    </row>
    <row r="4" spans="2:14" x14ac:dyDescent="0.3">
      <c r="B4" s="33"/>
      <c r="C4" s="34"/>
      <c r="D4" s="34"/>
      <c r="E4" s="34"/>
      <c r="F4" s="34"/>
      <c r="G4" s="35"/>
    </row>
    <row r="5" spans="2:14" x14ac:dyDescent="0.3">
      <c r="B5" s="33"/>
      <c r="C5" s="34"/>
      <c r="D5" s="34"/>
      <c r="E5" s="34"/>
      <c r="F5" s="34"/>
      <c r="G5" s="35"/>
    </row>
    <row r="6" spans="2:14" x14ac:dyDescent="0.3">
      <c r="B6" s="36" t="s">
        <v>1</v>
      </c>
      <c r="C6" s="37"/>
      <c r="D6" s="37"/>
      <c r="E6" s="37"/>
      <c r="F6" s="37"/>
      <c r="G6" s="38"/>
    </row>
    <row r="7" spans="2:14" x14ac:dyDescent="0.3">
      <c r="B7" s="39" t="s">
        <v>2</v>
      </c>
      <c r="C7" s="40"/>
      <c r="D7" s="40"/>
      <c r="E7" s="40"/>
      <c r="F7" s="40"/>
      <c r="G7" s="41"/>
    </row>
    <row r="8" spans="2:14" x14ac:dyDescent="0.3">
      <c r="B8" s="42" t="s">
        <v>3</v>
      </c>
      <c r="C8" s="43"/>
      <c r="D8" s="43"/>
      <c r="E8" s="43"/>
      <c r="F8" s="43"/>
      <c r="G8" s="44"/>
    </row>
    <row r="10" spans="2:14" x14ac:dyDescent="0.3">
      <c r="B10" s="40" t="s">
        <v>74</v>
      </c>
      <c r="C10" s="40"/>
      <c r="D10" s="40"/>
      <c r="E10" s="40"/>
      <c r="F10" s="40"/>
      <c r="G10" s="40"/>
    </row>
    <row r="12" spans="2:14" x14ac:dyDescent="0.3">
      <c r="B12" s="28" t="s">
        <v>80</v>
      </c>
      <c r="C12" s="28"/>
      <c r="D12" s="28"/>
      <c r="E12" s="28"/>
      <c r="F12" s="28"/>
      <c r="G12" s="28"/>
      <c r="I12" s="28" t="s">
        <v>79</v>
      </c>
      <c r="J12" s="28"/>
      <c r="K12" s="28"/>
      <c r="L12" s="28"/>
      <c r="M12" s="28"/>
      <c r="N12" s="28"/>
    </row>
    <row r="13" spans="2:14" x14ac:dyDescent="0.3">
      <c r="B13" s="4" t="s">
        <v>84</v>
      </c>
      <c r="C13" s="29" t="s">
        <v>81</v>
      </c>
      <c r="D13" s="29"/>
      <c r="E13" s="29" t="s">
        <v>82</v>
      </c>
      <c r="F13" s="29"/>
      <c r="G13" s="4" t="s">
        <v>83</v>
      </c>
      <c r="I13" s="48" t="s">
        <v>75</v>
      </c>
      <c r="J13" s="48"/>
      <c r="K13" s="48"/>
      <c r="L13" s="48"/>
      <c r="M13" s="48"/>
      <c r="N13" s="48"/>
    </row>
    <row r="14" spans="2:14" x14ac:dyDescent="0.3">
      <c r="B14" s="8" t="s">
        <v>85</v>
      </c>
      <c r="C14" s="25" t="s">
        <v>92</v>
      </c>
      <c r="D14" s="25"/>
      <c r="E14" s="26" t="s">
        <v>104</v>
      </c>
      <c r="F14" s="27"/>
      <c r="G14" s="3" t="s">
        <v>105</v>
      </c>
      <c r="I14" s="46" t="s">
        <v>76</v>
      </c>
      <c r="J14" s="46"/>
      <c r="K14" s="46"/>
      <c r="L14" s="46"/>
      <c r="M14" s="46"/>
      <c r="N14" s="46"/>
    </row>
    <row r="15" spans="2:14" x14ac:dyDescent="0.3">
      <c r="B15" s="2" t="s">
        <v>91</v>
      </c>
      <c r="C15" s="25" t="s">
        <v>93</v>
      </c>
      <c r="D15" s="25"/>
      <c r="E15" s="79" t="s">
        <v>142</v>
      </c>
      <c r="F15" s="80"/>
      <c r="G15" s="3" t="s">
        <v>106</v>
      </c>
      <c r="I15" s="46" t="s">
        <v>77</v>
      </c>
      <c r="J15" s="46"/>
      <c r="K15" s="46"/>
      <c r="L15" s="46"/>
      <c r="M15" s="46"/>
      <c r="N15" s="46"/>
    </row>
    <row r="16" spans="2:14" x14ac:dyDescent="0.3">
      <c r="B16" s="8" t="s">
        <v>86</v>
      </c>
      <c r="C16" s="25" t="s">
        <v>94</v>
      </c>
      <c r="D16" s="25"/>
      <c r="E16" s="26" t="s">
        <v>99</v>
      </c>
      <c r="F16" s="27"/>
      <c r="G16" s="3" t="s">
        <v>107</v>
      </c>
      <c r="I16" s="46" t="s">
        <v>78</v>
      </c>
      <c r="J16" s="46"/>
      <c r="K16" s="46"/>
      <c r="L16" s="46"/>
      <c r="M16" s="46"/>
      <c r="N16" s="46"/>
    </row>
    <row r="17" spans="2:14" x14ac:dyDescent="0.3">
      <c r="B17" s="2" t="s">
        <v>87</v>
      </c>
      <c r="C17" s="25" t="s">
        <v>95</v>
      </c>
      <c r="D17" s="25"/>
      <c r="E17" s="26" t="s">
        <v>100</v>
      </c>
      <c r="F17" s="27"/>
      <c r="G17" s="3" t="s">
        <v>108</v>
      </c>
    </row>
    <row r="18" spans="2:14" x14ac:dyDescent="0.3">
      <c r="B18" s="8" t="s">
        <v>88</v>
      </c>
      <c r="C18" s="25" t="s">
        <v>96</v>
      </c>
      <c r="D18" s="25"/>
      <c r="E18" s="26" t="s">
        <v>101</v>
      </c>
      <c r="F18" s="27"/>
      <c r="G18" s="3" t="s">
        <v>109</v>
      </c>
    </row>
    <row r="19" spans="2:14" x14ac:dyDescent="0.3">
      <c r="B19" s="2" t="s">
        <v>89</v>
      </c>
      <c r="C19" s="25" t="s">
        <v>97</v>
      </c>
      <c r="D19" s="25"/>
      <c r="E19" s="26" t="s">
        <v>102</v>
      </c>
      <c r="F19" s="27"/>
      <c r="G19" s="3" t="s">
        <v>110</v>
      </c>
    </row>
    <row r="20" spans="2:14" x14ac:dyDescent="0.3">
      <c r="B20" s="8" t="s">
        <v>90</v>
      </c>
      <c r="C20" s="25" t="s">
        <v>98</v>
      </c>
      <c r="D20" s="25"/>
      <c r="E20" s="26" t="s">
        <v>103</v>
      </c>
      <c r="F20" s="27"/>
      <c r="G20" s="3" t="s">
        <v>111</v>
      </c>
      <c r="I20" s="40" t="s">
        <v>114</v>
      </c>
      <c r="J20" s="40"/>
      <c r="K20" s="40"/>
      <c r="L20" s="40"/>
      <c r="M20" s="40"/>
      <c r="N20" s="40"/>
    </row>
    <row r="22" spans="2:14" x14ac:dyDescent="0.3">
      <c r="B22" s="78" t="s">
        <v>113</v>
      </c>
      <c r="C22" s="78"/>
      <c r="D22" s="78"/>
      <c r="E22" s="78"/>
      <c r="F22" s="78"/>
      <c r="G22" s="78"/>
    </row>
    <row r="23" spans="2:14" x14ac:dyDescent="0.3">
      <c r="B23" s="1"/>
      <c r="C23" s="1"/>
      <c r="D23" s="1"/>
      <c r="E23" s="1"/>
      <c r="F23" s="1"/>
      <c r="G23" s="1"/>
    </row>
    <row r="24" spans="2:14" x14ac:dyDescent="0.3">
      <c r="B24" s="9" t="s">
        <v>112</v>
      </c>
      <c r="C24" s="77"/>
      <c r="D24" s="77"/>
      <c r="E24" s="77"/>
      <c r="F24" s="77"/>
      <c r="G24" s="77"/>
    </row>
    <row r="25" spans="2:14" x14ac:dyDescent="0.3">
      <c r="B25" s="1"/>
      <c r="C25" s="1"/>
      <c r="D25" s="1"/>
      <c r="E25" s="1"/>
      <c r="F25" s="1"/>
      <c r="G25" s="1"/>
    </row>
    <row r="26" spans="2:14" x14ac:dyDescent="0.3">
      <c r="B26" s="1"/>
      <c r="C26" s="1"/>
      <c r="D26" s="1"/>
      <c r="E26" s="1"/>
      <c r="F26" s="1"/>
      <c r="G26" s="1"/>
    </row>
  </sheetData>
  <mergeCells count="30">
    <mergeCell ref="I13:N13"/>
    <mergeCell ref="I14:N14"/>
    <mergeCell ref="I15:N15"/>
    <mergeCell ref="I16:N16"/>
    <mergeCell ref="B2:G5"/>
    <mergeCell ref="B6:G6"/>
    <mergeCell ref="B7:G7"/>
    <mergeCell ref="B8:G8"/>
    <mergeCell ref="B10:G10"/>
    <mergeCell ref="I12:N12"/>
    <mergeCell ref="B12:G12"/>
    <mergeCell ref="E18:F18"/>
    <mergeCell ref="E17:F17"/>
    <mergeCell ref="E16:F16"/>
    <mergeCell ref="E15:F15"/>
    <mergeCell ref="C13:D13"/>
    <mergeCell ref="C14:D14"/>
    <mergeCell ref="C15:D15"/>
    <mergeCell ref="C16:D16"/>
    <mergeCell ref="C17:D17"/>
    <mergeCell ref="C18:D18"/>
    <mergeCell ref="E13:F13"/>
    <mergeCell ref="E14:F14"/>
    <mergeCell ref="C24:G24"/>
    <mergeCell ref="B22:G22"/>
    <mergeCell ref="I20:N20"/>
    <mergeCell ref="E20:F20"/>
    <mergeCell ref="E19:F19"/>
    <mergeCell ref="C19:D19"/>
    <mergeCell ref="C20:D20"/>
  </mergeCells>
  <pageMargins left="0.7" right="0.7" top="0.75" bottom="0.75" header="0.3" footer="0.3"/>
  <ignoredErrors>
    <ignoredError sqref="E15" twoDigitTextYear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0796-A875-41A7-AFF9-0E522D2A110B}">
  <dimension ref="B2:N18"/>
  <sheetViews>
    <sheetView showGridLines="0" zoomScale="135" workbookViewId="0">
      <selection activeCell="B2" sqref="B2:G8"/>
    </sheetView>
  </sheetViews>
  <sheetFormatPr defaultRowHeight="14.4" x14ac:dyDescent="0.3"/>
  <cols>
    <col min="1" max="1" width="2.21875" customWidth="1"/>
    <col min="8" max="8" width="2.21875" customWidth="1"/>
  </cols>
  <sheetData>
    <row r="2" spans="2:14" x14ac:dyDescent="0.3">
      <c r="B2" s="30" t="s">
        <v>0</v>
      </c>
      <c r="C2" s="31"/>
      <c r="D2" s="31"/>
      <c r="E2" s="31"/>
      <c r="F2" s="31"/>
      <c r="G2" s="32"/>
    </row>
    <row r="3" spans="2:14" x14ac:dyDescent="0.3">
      <c r="B3" s="33"/>
      <c r="C3" s="34"/>
      <c r="D3" s="34"/>
      <c r="E3" s="34"/>
      <c r="F3" s="34"/>
      <c r="G3" s="35"/>
    </row>
    <row r="4" spans="2:14" x14ac:dyDescent="0.3">
      <c r="B4" s="33"/>
      <c r="C4" s="34"/>
      <c r="D4" s="34"/>
      <c r="E4" s="34"/>
      <c r="F4" s="34"/>
      <c r="G4" s="35"/>
    </row>
    <row r="5" spans="2:14" x14ac:dyDescent="0.3">
      <c r="B5" s="33"/>
      <c r="C5" s="34"/>
      <c r="D5" s="34"/>
      <c r="E5" s="34"/>
      <c r="F5" s="34"/>
      <c r="G5" s="35"/>
    </row>
    <row r="6" spans="2:14" x14ac:dyDescent="0.3">
      <c r="B6" s="36" t="s">
        <v>1</v>
      </c>
      <c r="C6" s="37"/>
      <c r="D6" s="37"/>
      <c r="E6" s="37"/>
      <c r="F6" s="37"/>
      <c r="G6" s="38"/>
    </row>
    <row r="7" spans="2:14" x14ac:dyDescent="0.3">
      <c r="B7" s="39" t="s">
        <v>2</v>
      </c>
      <c r="C7" s="40"/>
      <c r="D7" s="40"/>
      <c r="E7" s="40"/>
      <c r="F7" s="40"/>
      <c r="G7" s="41"/>
    </row>
    <row r="8" spans="2:14" x14ac:dyDescent="0.3">
      <c r="B8" s="42" t="s">
        <v>3</v>
      </c>
      <c r="C8" s="43"/>
      <c r="D8" s="43"/>
      <c r="E8" s="43"/>
      <c r="F8" s="43"/>
      <c r="G8" s="44"/>
    </row>
    <row r="10" spans="2:14" x14ac:dyDescent="0.3">
      <c r="B10" s="40" t="s">
        <v>115</v>
      </c>
      <c r="C10" s="40"/>
      <c r="D10" s="40"/>
      <c r="E10" s="40"/>
      <c r="F10" s="40"/>
      <c r="G10" s="40"/>
    </row>
    <row r="12" spans="2:14" x14ac:dyDescent="0.3">
      <c r="B12" s="28" t="s">
        <v>116</v>
      </c>
      <c r="C12" s="28"/>
      <c r="D12" s="28"/>
      <c r="E12" s="28"/>
      <c r="F12" s="28"/>
      <c r="G12" s="28"/>
      <c r="I12" s="28" t="s">
        <v>117</v>
      </c>
      <c r="J12" s="28"/>
      <c r="K12" s="28"/>
      <c r="L12" s="28"/>
      <c r="M12" s="28"/>
      <c r="N12" s="28"/>
    </row>
    <row r="13" spans="2:14" x14ac:dyDescent="0.3">
      <c r="B13" s="29" t="s">
        <v>118</v>
      </c>
      <c r="C13" s="29"/>
      <c r="D13" s="29" t="s">
        <v>119</v>
      </c>
      <c r="E13" s="29"/>
      <c r="F13" s="29" t="s">
        <v>120</v>
      </c>
      <c r="G13" s="29"/>
      <c r="I13" t="s">
        <v>126</v>
      </c>
    </row>
    <row r="14" spans="2:14" x14ac:dyDescent="0.3">
      <c r="B14" s="25" t="s">
        <v>121</v>
      </c>
      <c r="C14" s="25"/>
      <c r="D14" s="26"/>
      <c r="E14" s="27"/>
      <c r="F14" s="26"/>
      <c r="G14" s="27"/>
      <c r="I14" t="s">
        <v>127</v>
      </c>
    </row>
    <row r="15" spans="2:14" x14ac:dyDescent="0.3">
      <c r="B15" s="25" t="s">
        <v>122</v>
      </c>
      <c r="C15" s="25"/>
      <c r="D15" s="26"/>
      <c r="E15" s="27"/>
      <c r="F15" s="26"/>
      <c r="G15" s="27"/>
      <c r="I15" t="s">
        <v>129</v>
      </c>
    </row>
    <row r="16" spans="2:14" x14ac:dyDescent="0.3">
      <c r="B16" s="25" t="s">
        <v>123</v>
      </c>
      <c r="C16" s="25"/>
      <c r="D16" s="26"/>
      <c r="E16" s="27"/>
      <c r="F16" s="26"/>
      <c r="G16" s="27"/>
    </row>
    <row r="17" spans="2:9" x14ac:dyDescent="0.3">
      <c r="B17" s="25" t="s">
        <v>124</v>
      </c>
      <c r="C17" s="25"/>
      <c r="D17" s="26"/>
      <c r="E17" s="27"/>
      <c r="F17" s="26"/>
      <c r="G17" s="27"/>
    </row>
    <row r="18" spans="2:9" x14ac:dyDescent="0.3">
      <c r="B18" s="25" t="s">
        <v>125</v>
      </c>
      <c r="C18" s="25"/>
      <c r="D18" s="26"/>
      <c r="E18" s="27"/>
      <c r="F18" s="26"/>
      <c r="G18" s="27"/>
      <c r="I18" t="s">
        <v>128</v>
      </c>
    </row>
  </sheetData>
  <mergeCells count="25">
    <mergeCell ref="B2:G5"/>
    <mergeCell ref="B6:G6"/>
    <mergeCell ref="B7:G7"/>
    <mergeCell ref="B8:G8"/>
    <mergeCell ref="B10:G10"/>
    <mergeCell ref="I12:N12"/>
    <mergeCell ref="B13:C13"/>
    <mergeCell ref="D13:E13"/>
    <mergeCell ref="F13:G13"/>
    <mergeCell ref="B14:C14"/>
    <mergeCell ref="B12:G12"/>
    <mergeCell ref="B18:C18"/>
    <mergeCell ref="D14:E14"/>
    <mergeCell ref="F14:G14"/>
    <mergeCell ref="D15:E15"/>
    <mergeCell ref="D16:E16"/>
    <mergeCell ref="D17:E17"/>
    <mergeCell ref="D18:E18"/>
    <mergeCell ref="F18:G18"/>
    <mergeCell ref="B15:C15"/>
    <mergeCell ref="F17:G17"/>
    <mergeCell ref="F16:G16"/>
    <mergeCell ref="F15:G15"/>
    <mergeCell ref="B16:C16"/>
    <mergeCell ref="B17:C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1191-BA98-4588-898D-78CE4C149673}">
  <dimension ref="B2:G23"/>
  <sheetViews>
    <sheetView showGridLines="0" zoomScale="143" workbookViewId="0">
      <selection activeCell="M24" sqref="M24"/>
    </sheetView>
  </sheetViews>
  <sheetFormatPr defaultRowHeight="14.4" x14ac:dyDescent="0.3"/>
  <cols>
    <col min="1" max="1" width="2.5546875" customWidth="1"/>
    <col min="8" max="8" width="2" customWidth="1"/>
  </cols>
  <sheetData>
    <row r="2" spans="2:7" x14ac:dyDescent="0.3">
      <c r="B2" s="30" t="s">
        <v>0</v>
      </c>
      <c r="C2" s="31"/>
      <c r="D2" s="31"/>
      <c r="E2" s="31"/>
      <c r="F2" s="31"/>
      <c r="G2" s="32"/>
    </row>
    <row r="3" spans="2:7" x14ac:dyDescent="0.3">
      <c r="B3" s="33"/>
      <c r="C3" s="34"/>
      <c r="D3" s="34"/>
      <c r="E3" s="34"/>
      <c r="F3" s="34"/>
      <c r="G3" s="35"/>
    </row>
    <row r="4" spans="2:7" x14ac:dyDescent="0.3">
      <c r="B4" s="33"/>
      <c r="C4" s="34"/>
      <c r="D4" s="34"/>
      <c r="E4" s="34"/>
      <c r="F4" s="34"/>
      <c r="G4" s="35"/>
    </row>
    <row r="5" spans="2:7" x14ac:dyDescent="0.3">
      <c r="B5" s="33"/>
      <c r="C5" s="34"/>
      <c r="D5" s="34"/>
      <c r="E5" s="34"/>
      <c r="F5" s="34"/>
      <c r="G5" s="35"/>
    </row>
    <row r="6" spans="2:7" x14ac:dyDescent="0.3">
      <c r="B6" s="36" t="s">
        <v>1</v>
      </c>
      <c r="C6" s="37"/>
      <c r="D6" s="37"/>
      <c r="E6" s="37"/>
      <c r="F6" s="37"/>
      <c r="G6" s="38"/>
    </row>
    <row r="7" spans="2:7" x14ac:dyDescent="0.3">
      <c r="B7" s="39" t="s">
        <v>2</v>
      </c>
      <c r="C7" s="40"/>
      <c r="D7" s="40"/>
      <c r="E7" s="40"/>
      <c r="F7" s="40"/>
      <c r="G7" s="41"/>
    </row>
    <row r="8" spans="2:7" x14ac:dyDescent="0.3">
      <c r="B8" s="42" t="s">
        <v>3</v>
      </c>
      <c r="C8" s="43"/>
      <c r="D8" s="43"/>
      <c r="E8" s="43"/>
      <c r="F8" s="43"/>
      <c r="G8" s="44"/>
    </row>
    <row r="11" spans="2:7" x14ac:dyDescent="0.3">
      <c r="B11" s="40" t="s">
        <v>130</v>
      </c>
      <c r="C11" s="40"/>
      <c r="D11" s="40"/>
      <c r="E11" s="40"/>
      <c r="F11" s="40"/>
      <c r="G11" s="40"/>
    </row>
    <row r="12" spans="2:7" x14ac:dyDescent="0.3">
      <c r="B12" s="95" t="s">
        <v>131</v>
      </c>
      <c r="C12" s="96"/>
      <c r="D12" s="14"/>
      <c r="E12" s="10"/>
      <c r="F12" s="97">
        <f>Costs!F19</f>
        <v>75</v>
      </c>
      <c r="G12" s="98"/>
    </row>
    <row r="13" spans="2:7" x14ac:dyDescent="0.3">
      <c r="B13" s="90" t="s">
        <v>132</v>
      </c>
      <c r="C13" s="75"/>
      <c r="F13" s="91">
        <f>Costs!F32</f>
        <v>0</v>
      </c>
      <c r="G13" s="92"/>
    </row>
    <row r="14" spans="2:7" x14ac:dyDescent="0.3">
      <c r="B14" s="90" t="s">
        <v>133</v>
      </c>
      <c r="C14" s="75"/>
      <c r="F14" s="16"/>
      <c r="G14" s="17"/>
    </row>
    <row r="15" spans="2:7" x14ac:dyDescent="0.3">
      <c r="B15" s="15" t="s">
        <v>113</v>
      </c>
      <c r="C15" s="7"/>
      <c r="F15" s="16"/>
      <c r="G15" s="17"/>
    </row>
    <row r="16" spans="2:7" x14ac:dyDescent="0.3">
      <c r="B16" s="93" t="s">
        <v>134</v>
      </c>
      <c r="C16" s="94"/>
      <c r="D16" s="94"/>
      <c r="E16" s="12"/>
      <c r="F16" s="18"/>
      <c r="G16" s="19"/>
    </row>
    <row r="17" spans="2:7" x14ac:dyDescent="0.3">
      <c r="B17" s="84"/>
      <c r="C17" s="84"/>
      <c r="D17" s="84"/>
    </row>
    <row r="18" spans="2:7" x14ac:dyDescent="0.3">
      <c r="B18" s="73" t="s">
        <v>135</v>
      </c>
      <c r="C18" s="73"/>
      <c r="D18" s="73"/>
      <c r="E18" s="73"/>
      <c r="F18" s="73"/>
      <c r="G18" s="73"/>
    </row>
    <row r="19" spans="2:7" x14ac:dyDescent="0.3">
      <c r="B19" s="85" t="s">
        <v>136</v>
      </c>
      <c r="C19" s="86"/>
      <c r="D19" s="81" t="s">
        <v>140</v>
      </c>
      <c r="E19" s="81"/>
      <c r="F19" s="81"/>
      <c r="G19" s="82"/>
    </row>
    <row r="20" spans="2:7" x14ac:dyDescent="0.3">
      <c r="B20" s="87" t="s">
        <v>137</v>
      </c>
      <c r="C20" s="46"/>
      <c r="D20" s="48"/>
      <c r="E20" s="48"/>
      <c r="F20" s="48"/>
      <c r="G20" s="83"/>
    </row>
    <row r="21" spans="2:7" x14ac:dyDescent="0.3">
      <c r="B21" s="87" t="s">
        <v>138</v>
      </c>
      <c r="C21" s="46"/>
      <c r="G21" s="11"/>
    </row>
    <row r="22" spans="2:7" x14ac:dyDescent="0.3">
      <c r="B22" s="88" t="s">
        <v>139</v>
      </c>
      <c r="C22" s="89"/>
      <c r="D22" s="12"/>
      <c r="E22" s="12"/>
      <c r="F22" s="12"/>
      <c r="G22" s="13"/>
    </row>
    <row r="23" spans="2:7" x14ac:dyDescent="0.3">
      <c r="B23" s="48"/>
      <c r="C23" s="48"/>
    </row>
  </sheetData>
  <mergeCells count="20">
    <mergeCell ref="B13:C13"/>
    <mergeCell ref="B14:C14"/>
    <mergeCell ref="F13:G13"/>
    <mergeCell ref="B16:D16"/>
    <mergeCell ref="B2:G5"/>
    <mergeCell ref="B6:G6"/>
    <mergeCell ref="B7:G7"/>
    <mergeCell ref="B8:G8"/>
    <mergeCell ref="B11:G11"/>
    <mergeCell ref="B12:C12"/>
    <mergeCell ref="F12:G12"/>
    <mergeCell ref="B23:C23"/>
    <mergeCell ref="D19:G19"/>
    <mergeCell ref="D20:G20"/>
    <mergeCell ref="B17:D17"/>
    <mergeCell ref="B18:G18"/>
    <mergeCell ref="B19:C19"/>
    <mergeCell ref="B20:C20"/>
    <mergeCell ref="B21:C21"/>
    <mergeCell ref="B22:C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Costs</vt:lpstr>
      <vt:lpstr>Forecast</vt:lpstr>
      <vt:lpstr>Budget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 Kumar Mishra</dc:creator>
  <cp:lastModifiedBy>Anjani Kumar Mishra</cp:lastModifiedBy>
  <cp:lastPrinted>2026-04-25T18:22:42Z</cp:lastPrinted>
  <dcterms:created xsi:type="dcterms:W3CDTF">2026-04-25T18:08:30Z</dcterms:created>
  <dcterms:modified xsi:type="dcterms:W3CDTF">2026-04-27T03:05:17Z</dcterms:modified>
</cp:coreProperties>
</file>