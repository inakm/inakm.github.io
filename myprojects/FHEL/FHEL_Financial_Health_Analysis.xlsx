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GitHub\inakm.github.io\myprojects\FHEL\"/>
    </mc:Choice>
  </mc:AlternateContent>
  <bookViews>
    <workbookView xWindow="0" yWindow="1350" windowWidth="28800" windowHeight="13260" tabRatio="500" activeTab="2"/>
  </bookViews>
  <sheets>
    <sheet name="HOME" sheetId="1" r:id="rId1"/>
    <sheet name="Health Analysis" sheetId="2" r:id="rId2"/>
    <sheet name="Business Analysis" sheetId="6" r:id="rId3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" i="2" l="1"/>
  <c r="C14" i="2"/>
  <c r="J21" i="2"/>
  <c r="Y25" i="2" l="1"/>
  <c r="X25" i="2"/>
  <c r="Y22" i="2"/>
  <c r="Y21" i="2"/>
  <c r="X21" i="2"/>
  <c r="Y20" i="2"/>
  <c r="X20" i="2"/>
  <c r="K41" i="2"/>
  <c r="Y6" i="2" s="1"/>
  <c r="J41" i="2"/>
  <c r="K21" i="2"/>
  <c r="K11" i="2"/>
  <c r="J11" i="2"/>
  <c r="Y19" i="2"/>
  <c r="X19" i="2"/>
  <c r="Y12" i="2"/>
  <c r="X12" i="2"/>
  <c r="X6" i="2"/>
  <c r="Y5" i="2"/>
  <c r="X5" i="2"/>
  <c r="Y4" i="2"/>
  <c r="X4" i="2"/>
  <c r="S4" i="2"/>
  <c r="T4" i="2"/>
  <c r="S5" i="2"/>
  <c r="T5" i="2"/>
  <c r="S6" i="2"/>
  <c r="T6" i="2"/>
  <c r="S7" i="2"/>
  <c r="T7" i="2"/>
  <c r="S8" i="2"/>
  <c r="T8" i="2"/>
  <c r="S9" i="2"/>
  <c r="T9" i="2"/>
  <c r="Q10" i="2"/>
  <c r="R10" i="2"/>
  <c r="S10" i="2"/>
  <c r="T10" i="2"/>
  <c r="S11" i="2"/>
  <c r="T11" i="2"/>
  <c r="S12" i="2"/>
  <c r="T12" i="2"/>
  <c r="S13" i="2"/>
  <c r="T13" i="2"/>
  <c r="S14" i="2"/>
  <c r="T14" i="2"/>
  <c r="S15" i="2"/>
  <c r="T15" i="2"/>
  <c r="S16" i="2"/>
  <c r="T16" i="2"/>
  <c r="Q17" i="2"/>
  <c r="Q19" i="2" s="1"/>
  <c r="R17" i="2"/>
  <c r="S17" i="2"/>
  <c r="T17" i="2"/>
  <c r="S18" i="2"/>
  <c r="T18" i="2"/>
  <c r="R19" i="2"/>
  <c r="R34" i="2" s="1"/>
  <c r="R36" i="2" s="1"/>
  <c r="S22" i="2"/>
  <c r="T22" i="2"/>
  <c r="S23" i="2"/>
  <c r="T23" i="2"/>
  <c r="S24" i="2"/>
  <c r="T24" i="2"/>
  <c r="S25" i="2"/>
  <c r="T25" i="2"/>
  <c r="S26" i="2"/>
  <c r="T26" i="2"/>
  <c r="Q27" i="2"/>
  <c r="R27" i="2"/>
  <c r="S27" i="2" s="1"/>
  <c r="T27" i="2"/>
  <c r="S30" i="2"/>
  <c r="T30" i="2"/>
  <c r="S31" i="2"/>
  <c r="T31" i="2"/>
  <c r="Q32" i="2"/>
  <c r="R32" i="2"/>
  <c r="S32" i="2" s="1"/>
  <c r="T32" i="2"/>
  <c r="S35" i="2"/>
  <c r="T35" i="2"/>
  <c r="L10" i="2"/>
  <c r="M40" i="2"/>
  <c r="L40" i="2"/>
  <c r="M39" i="2"/>
  <c r="L39" i="2"/>
  <c r="M38" i="2"/>
  <c r="L38" i="2"/>
  <c r="M37" i="2"/>
  <c r="L37" i="2"/>
  <c r="M36" i="2"/>
  <c r="L36" i="2"/>
  <c r="K33" i="2"/>
  <c r="J33" i="2"/>
  <c r="M33" i="2" s="1"/>
  <c r="M32" i="2"/>
  <c r="L32" i="2"/>
  <c r="M31" i="2"/>
  <c r="L31" i="2"/>
  <c r="L28" i="2"/>
  <c r="K28" i="2"/>
  <c r="J28" i="2"/>
  <c r="M28" i="2" s="1"/>
  <c r="M27" i="2"/>
  <c r="L27" i="2"/>
  <c r="M26" i="2"/>
  <c r="L26" i="2"/>
  <c r="M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K22" i="2"/>
  <c r="M10" i="2"/>
  <c r="M9" i="2"/>
  <c r="L9" i="2"/>
  <c r="M8" i="2"/>
  <c r="L8" i="2"/>
  <c r="M7" i="2"/>
  <c r="L7" i="2"/>
  <c r="M6" i="2"/>
  <c r="L6" i="2"/>
  <c r="M5" i="2"/>
  <c r="L5" i="2"/>
  <c r="K42" i="2" l="1"/>
  <c r="Y9" i="2" s="1"/>
  <c r="M41" i="2"/>
  <c r="J22" i="2"/>
  <c r="L22" i="2" s="1"/>
  <c r="S19" i="2"/>
  <c r="Q34" i="2"/>
  <c r="T19" i="2"/>
  <c r="L33" i="2"/>
  <c r="L21" i="2"/>
  <c r="K43" i="2"/>
  <c r="J42" i="2"/>
  <c r="X9" i="2" s="1"/>
  <c r="L11" i="2"/>
  <c r="M11" i="2"/>
  <c r="L41" i="2"/>
  <c r="F20" i="2"/>
  <c r="E20" i="2"/>
  <c r="E17" i="2"/>
  <c r="F13" i="2"/>
  <c r="E13" i="2"/>
  <c r="F12" i="2"/>
  <c r="E12" i="2"/>
  <c r="F11" i="2"/>
  <c r="E11" i="2"/>
  <c r="F10" i="2"/>
  <c r="E10" i="2"/>
  <c r="F9" i="2"/>
  <c r="E9" i="2"/>
  <c r="D6" i="2"/>
  <c r="C6" i="2"/>
  <c r="F5" i="2"/>
  <c r="E5" i="2"/>
  <c r="F4" i="2"/>
  <c r="E4" i="2"/>
  <c r="X22" i="2" l="1"/>
  <c r="M22" i="2"/>
  <c r="Q36" i="2"/>
  <c r="S34" i="2"/>
  <c r="T34" i="2"/>
  <c r="J43" i="2"/>
  <c r="M42" i="2"/>
  <c r="L42" i="2"/>
  <c r="F14" i="2"/>
  <c r="E14" i="2"/>
  <c r="D25" i="2"/>
  <c r="D16" i="2"/>
  <c r="C25" i="2"/>
  <c r="E25" i="2" s="1"/>
  <c r="C16" i="2"/>
  <c r="F6" i="2"/>
  <c r="E6" i="2"/>
  <c r="Y13" i="2" l="1"/>
  <c r="Y16" i="2"/>
  <c r="X16" i="2"/>
  <c r="X13" i="2"/>
  <c r="S36" i="2"/>
  <c r="T36" i="2"/>
  <c r="M43" i="2"/>
  <c r="L43" i="2"/>
  <c r="D18" i="2"/>
  <c r="D26" i="2"/>
  <c r="E16" i="2"/>
  <c r="F16" i="2"/>
  <c r="C18" i="2"/>
  <c r="C26" i="2"/>
  <c r="E26" i="2" s="1"/>
  <c r="D27" i="2" l="1"/>
  <c r="Y15" i="2"/>
  <c r="Y14" i="2"/>
  <c r="Y17" i="2"/>
  <c r="X17" i="2"/>
  <c r="X14" i="2"/>
  <c r="X15" i="2"/>
  <c r="D21" i="2"/>
  <c r="C27" i="2"/>
  <c r="E27" i="2" s="1"/>
  <c r="E18" i="2"/>
  <c r="F18" i="2"/>
  <c r="C21" i="2"/>
  <c r="E21" i="2" l="1"/>
  <c r="F21" i="2"/>
</calcChain>
</file>

<file path=xl/sharedStrings.xml><?xml version="1.0" encoding="utf-8"?>
<sst xmlns="http://schemas.openxmlformats.org/spreadsheetml/2006/main" count="296" uniqueCount="277">
  <si>
    <t>FRESH &amp; HEALTHY ENTERPRISES LIMITED</t>
  </si>
  <si>
    <t>Financial Health Analysis Model  |  FY 2021-22 vs FY 2022-23</t>
  </si>
  <si>
    <t>Company</t>
  </si>
  <si>
    <t>Fresh &amp; Healthy Enterprises Limited (FHEL)</t>
  </si>
  <si>
    <t>Parent</t>
  </si>
  <si>
    <t>Container Corporation of India Limited (CONCOR)</t>
  </si>
  <si>
    <t>CIN</t>
  </si>
  <si>
    <t>U51909DL2006GOI145734</t>
  </si>
  <si>
    <t>Registered Office</t>
  </si>
  <si>
    <t>CONCOR Bhawan, C-3, Mathura Road, New Delhi 110076</t>
  </si>
  <si>
    <t>Industry</t>
  </si>
  <si>
    <t>Cold Chain / Agri Logistics</t>
  </si>
  <si>
    <t>Report Period</t>
  </si>
  <si>
    <t>FY 2022-23 (Year ended 31 March 2023)</t>
  </si>
  <si>
    <t>Currency</t>
  </si>
  <si>
    <t>Auditor</t>
  </si>
  <si>
    <t>Deepak Gulati &amp; Associates, Chartered Accountants</t>
  </si>
  <si>
    <t>Model Prepared</t>
  </si>
  <si>
    <t>Data Source</t>
  </si>
  <si>
    <t>18th Annual Report 2022-23 (Audited Financials)</t>
  </si>
  <si>
    <t>Color Legend:   Blue = Hardcoded inputs     Black = Formulas     Green = Cross-sheet links</t>
  </si>
  <si>
    <t>Worksheet Index</t>
  </si>
  <si>
    <t>Income Statement</t>
  </si>
  <si>
    <t>Revenues, expenses, and bottom-line loss</t>
  </si>
  <si>
    <t>Balance Sheet</t>
  </si>
  <si>
    <t>Assets, liabilities, and equity position</t>
  </si>
  <si>
    <t>Cash Flow</t>
  </si>
  <si>
    <t>Operating, investing, and financing flows</t>
  </si>
  <si>
    <t>Ratio Analysis</t>
  </si>
  <si>
    <t>Liquidity, leverage, profitability, efficiency</t>
  </si>
  <si>
    <t>Business Analysis</t>
  </si>
  <si>
    <t>SWOT, segment review, trend commentary</t>
  </si>
  <si>
    <t>INCOME STATEMENT  |  INR Lakhs</t>
  </si>
  <si>
    <t>Line Item</t>
  </si>
  <si>
    <t>FY 2022-23</t>
  </si>
  <si>
    <t>FY 2021-22</t>
  </si>
  <si>
    <t>Change (Lakhs)</t>
  </si>
  <si>
    <t>Change (%)</t>
  </si>
  <si>
    <t>REVENUE</t>
  </si>
  <si>
    <t xml:space="preserve">  Revenue from Operations</t>
  </si>
  <si>
    <t xml:space="preserve">  Other Income</t>
  </si>
  <si>
    <t>Total Income</t>
  </si>
  <si>
    <t>EXPENSES</t>
  </si>
  <si>
    <t xml:space="preserve">  Direct Expenses</t>
  </si>
  <si>
    <t xml:space="preserve">  Employee Benefits Expenses</t>
  </si>
  <si>
    <t xml:space="preserve">  Finance Cost</t>
  </si>
  <si>
    <t xml:space="preserve">  Depreciation &amp; Amortisation</t>
  </si>
  <si>
    <t xml:space="preserve">  Other Expenses</t>
  </si>
  <si>
    <t>Total Expenses</t>
  </si>
  <si>
    <t>Loss Before Tax</t>
  </si>
  <si>
    <t xml:space="preserve">  Tax Expense</t>
  </si>
  <si>
    <t>N/A</t>
  </si>
  <si>
    <t>Loss After Tax</t>
  </si>
  <si>
    <t xml:space="preserve">  Other Comprehensive Income</t>
  </si>
  <si>
    <t>Total Comprehensive Loss</t>
  </si>
  <si>
    <t>KEY MARGINS  (as % of Total Income)</t>
  </si>
  <si>
    <t>Margin Metric</t>
  </si>
  <si>
    <t>Change (pp)</t>
  </si>
  <si>
    <t xml:space="preserve">  Gross Margin (after Direct Exp)</t>
  </si>
  <si>
    <t xml:space="preserve">  EBITDA Margin</t>
  </si>
  <si>
    <t xml:space="preserve">  Net Loss Margin</t>
  </si>
  <si>
    <t>BALANCE SHEET  |  INR Lakhs  |  As at 31 March</t>
  </si>
  <si>
    <t>ASSETS</t>
  </si>
  <si>
    <t>Non-Current Assets</t>
  </si>
  <si>
    <t xml:space="preserve">  Property, Plant &amp; Equipment (Net)</t>
  </si>
  <si>
    <t xml:space="preserve">  Intangible Assets</t>
  </si>
  <si>
    <t xml:space="preserve">  Capital Work in Progress</t>
  </si>
  <si>
    <t xml:space="preserve">  Loans (Non-Current)</t>
  </si>
  <si>
    <t xml:space="preserve">  Other Financial Assets (Non-Current)</t>
  </si>
  <si>
    <t xml:space="preserve">  Other Non-Current Assets</t>
  </si>
  <si>
    <t>Total Non-Current Assets</t>
  </si>
  <si>
    <t>Current Assets</t>
  </si>
  <si>
    <t xml:space="preserve">  Inventories</t>
  </si>
  <si>
    <t xml:space="preserve">  Trade Receivables</t>
  </si>
  <si>
    <t xml:space="preserve">  Cash &amp; Cash Equivalents</t>
  </si>
  <si>
    <t xml:space="preserve">  Other Bank Balances</t>
  </si>
  <si>
    <t xml:space="preserve">  Other Financial Assets (Current)</t>
  </si>
  <si>
    <t xml:space="preserve">  Current Tax Assets (Net)</t>
  </si>
  <si>
    <t xml:space="preserve">  Other Current Assets</t>
  </si>
  <si>
    <t>Total Current Assets</t>
  </si>
  <si>
    <t>TOTAL ASSETS</t>
  </si>
  <si>
    <t>EQUITY &amp; LIABILITIES</t>
  </si>
  <si>
    <t>Equity</t>
  </si>
  <si>
    <t xml:space="preserve">  Equity Share Capital</t>
  </si>
  <si>
    <t xml:space="preserve">  Reserves &amp; Surplus</t>
  </si>
  <si>
    <t>Total Equity</t>
  </si>
  <si>
    <t>Non-Current Liabilities</t>
  </si>
  <si>
    <t xml:space="preserve">  Lease Liabilities (Non-Current)</t>
  </si>
  <si>
    <t xml:space="preserve">  Long-Term Provisions</t>
  </si>
  <si>
    <t>Total Non-Current Liabilities</t>
  </si>
  <si>
    <t>Current Liabilities</t>
  </si>
  <si>
    <t xml:space="preserve">  Lease Liabilities (Current)</t>
  </si>
  <si>
    <t xml:space="preserve">  Trade Payables</t>
  </si>
  <si>
    <t xml:space="preserve">  Other Financial Liabilities</t>
  </si>
  <si>
    <t xml:space="preserve">  Other Current Liabilities</t>
  </si>
  <si>
    <t xml:space="preserve">  Short-Term Provisions</t>
  </si>
  <si>
    <t>Total Current Liabilities</t>
  </si>
  <si>
    <t>TOTAL LIABILITIES</t>
  </si>
  <si>
    <t>TOTAL EQUITY &amp; LIABILITIES</t>
  </si>
  <si>
    <t>CASH FLOW STATEMENT  |  INR Lakhs</t>
  </si>
  <si>
    <t>A. CASH FLOW FROM OPERATING ACTIVITIES</t>
  </si>
  <si>
    <t>Net Loss After Tax</t>
  </si>
  <si>
    <t>Add: Depreciation &amp; Amortisation</t>
  </si>
  <si>
    <t>Add: Interest Income (Non-Operating)</t>
  </si>
  <si>
    <t>Add: Non-Operating Income</t>
  </si>
  <si>
    <t>Add: Finance Cost on Lease</t>
  </si>
  <si>
    <t>Less: Gain on Sale of Fixed Assets</t>
  </si>
  <si>
    <t>Operating Profit Before WC Changes</t>
  </si>
  <si>
    <t>(Inc)/Dec in Trade Receivables</t>
  </si>
  <si>
    <t>(Inc)/Dec in Other Current Assets</t>
  </si>
  <si>
    <t>Inc/(Dec) in Other Financial Liabilities</t>
  </si>
  <si>
    <t>Inc/(Dec) in Lease Liabilities (WC)</t>
  </si>
  <si>
    <t>Inc/(Dec) in Other Current Liabilities</t>
  </si>
  <si>
    <t>Inc/(Dec) in Short-Term Provisions</t>
  </si>
  <si>
    <t>Cash from Operations</t>
  </si>
  <si>
    <t>Income Taxes Paid / Refund</t>
  </si>
  <si>
    <t>Net Cash from Operating Activities</t>
  </si>
  <si>
    <t>B. CASH FLOW FROM INVESTING ACTIVITIES</t>
  </si>
  <si>
    <t>Purchase of Fixed Assets</t>
  </si>
  <si>
    <t>Capital Work in Progress</t>
  </si>
  <si>
    <t>Sale of Fixed Assets</t>
  </si>
  <si>
    <t>Loans to Employees</t>
  </si>
  <si>
    <t>Interest Received</t>
  </si>
  <si>
    <t>Net Cash from Investing Activities</t>
  </si>
  <si>
    <t>C. CASH FLOW FROM FINANCING ACTIVITIES</t>
  </si>
  <si>
    <t>Payment of Lease Liabilities</t>
  </si>
  <si>
    <t>Equity Infusion from CONCOR</t>
  </si>
  <si>
    <t>Net Cash from Financing Activities</t>
  </si>
  <si>
    <t>NET INCREASE / (DECREASE) IN CASH</t>
  </si>
  <si>
    <t>Opening Cash &amp; Cash Equivalents</t>
  </si>
  <si>
    <t>Closing Cash &amp; Cash Equivalents</t>
  </si>
  <si>
    <t>Ratio</t>
  </si>
  <si>
    <t>Interpretation</t>
  </si>
  <si>
    <t>LIQUIDITY RATIOS</t>
  </si>
  <si>
    <t xml:space="preserve">  Current Ratio</t>
  </si>
  <si>
    <t>Improved significantly; &gt; 2x is healthy</t>
  </si>
  <si>
    <t xml:space="preserve">  Quick Ratio (ex-Inventory)</t>
  </si>
  <si>
    <t xml:space="preserve">  Cash Ratio</t>
  </si>
  <si>
    <t>Strong cash cover for short-term liabilities</t>
  </si>
  <si>
    <t>LEVERAGE RATIOS</t>
  </si>
  <si>
    <t xml:space="preserve">  Debt-Equity Ratio</t>
  </si>
  <si>
    <t>Nil</t>
  </si>
  <si>
    <t>Zero financial debt; all equity funded</t>
  </si>
  <si>
    <t xml:space="preserve">  Total Liabilities to Equity</t>
  </si>
  <si>
    <t>Low external leverage</t>
  </si>
  <si>
    <t xml:space="preserve">  Interest Coverage (x)</t>
  </si>
  <si>
    <t>N/A (Loss Making)</t>
  </si>
  <si>
    <t>Company is loss making; metric not meaningful</t>
  </si>
  <si>
    <t>PROFITABILITY RATIOS</t>
  </si>
  <si>
    <t>Declined; rising direct costs vs falling revenue</t>
  </si>
  <si>
    <t>Sharply compressed; major concern</t>
  </si>
  <si>
    <t>Improving; loss narrowed by 31% YoY</t>
  </si>
  <si>
    <t xml:space="preserve">  Return on Equity (%)</t>
  </si>
  <si>
    <t>Loss-making; negative return on equity</t>
  </si>
  <si>
    <t xml:space="preserve">  Return on Capital Employed (%)</t>
  </si>
  <si>
    <t>Trend improving but still deeply negative</t>
  </si>
  <si>
    <t xml:space="preserve">  Return on Assets (%)</t>
  </si>
  <si>
    <t>Loss-generating asset base</t>
  </si>
  <si>
    <t>EFFICIENCY RATIOS</t>
  </si>
  <si>
    <t xml:space="preserve">  Trade Receivables Turnover (x)</t>
  </si>
  <si>
    <t>Slight decline; collections slightly slower</t>
  </si>
  <si>
    <t xml:space="preserve">  Receivable Days</t>
  </si>
  <si>
    <t>Days to collect outstanding balances</t>
  </si>
  <si>
    <t xml:space="preserve">  Net Capital Turnover (x)</t>
  </si>
  <si>
    <t>Low asset utilisation</t>
  </si>
  <si>
    <t xml:space="preserve">  Total Asset Turnover (x)</t>
  </si>
  <si>
    <t>Very low; significant idle assets</t>
  </si>
  <si>
    <t>SOLVENCY &amp; GOING CONCERN</t>
  </si>
  <si>
    <t xml:space="preserve">  Accumulated Losses (INR Lakhs)</t>
  </si>
  <si>
    <t>Cumulative losses exceed share premium</t>
  </si>
  <si>
    <t xml:space="preserve">  Net Worth (INR Lakhs)</t>
  </si>
  <si>
    <t>Positive only due to CONCOR capital infusions</t>
  </si>
  <si>
    <t xml:space="preserve">  Equity Infusion in FY (INR Lakhs)</t>
  </si>
  <si>
    <t>Reliant on parent for survival</t>
  </si>
  <si>
    <t xml:space="preserve">  Cash Profit / (Loss) (INR Lakhs)</t>
  </si>
  <si>
    <t>Positive but minimal operating cash generation</t>
  </si>
  <si>
    <t>BUSINESS ANALYSIS  |  FHEL FY 2022-23</t>
  </si>
  <si>
    <t>SWOT ANALYSIS</t>
  </si>
  <si>
    <t>Strengths</t>
  </si>
  <si>
    <t>Weaknesses</t>
  </si>
  <si>
    <t>PSU status under CONCOR provides strong credibility and institutional trust with clients</t>
  </si>
  <si>
    <t>Persistent and deep accumulated losses of INR 190.17 crore; equity eroded without CONCOR support</t>
  </si>
  <si>
    <t>First mover in specialized CA Storage for apples in India; 16 years of operational track record</t>
  </si>
  <si>
    <t>Agri Logistics Centre at Rai, Sonepat has diversified offering: CA, Chiller, Custom Bonded Warehouse</t>
  </si>
  <si>
    <t>Revenue declining: down from INR 685 lakhs (FY22) to INR 568 lakhs (FY23)</t>
  </si>
  <si>
    <t>Customer base grew from 230 to 254 clients in FY 2022-23</t>
  </si>
  <si>
    <t>High dependence on import cargo, especially Kiwi from Iran (import ban hurt revenues)</t>
  </si>
  <si>
    <t>Zero financial debt; entirely equity funded; no default risk</t>
  </si>
  <si>
    <t>Depreciation burden of INR 259 lakhs alone exceeds operating profit by a wide margin</t>
  </si>
  <si>
    <t>Positive cash profit of INR 2.28 lakhs in FY 2022-23 vs INR 82.99 lakhs prior year</t>
  </si>
  <si>
    <t>Trade receivables at 47.6% of revenue; significant credit risk with disputed debtors in legal proceedings</t>
  </si>
  <si>
    <t>SWOT - Opp &amp; Threats</t>
  </si>
  <si>
    <t>Opportunities</t>
  </si>
  <si>
    <t>Threats</t>
  </si>
  <si>
    <t>India is the world's 2nd largest fruit and vegetable producer; large untapped cold storage demand</t>
  </si>
  <si>
    <t>Intense and growing competition from private CA stores in Delhi-NCR, HP and J&amp;K</t>
  </si>
  <si>
    <t>Rising disposable incomes driving year-round demand for quality fresh produce</t>
  </si>
  <si>
    <t>Unorganized sector with differential pricing practices undercuts PSU's transparent pricing</t>
  </si>
  <si>
    <t>Increasing fruit imports signal strong demand for bonded and CA storage</t>
  </si>
  <si>
    <t>High capital cost leads to higher rental rates vs private players</t>
  </si>
  <si>
    <t>Warehouse lease to M/s Siddhi Enterprises for 10 years provides stable rental income</t>
  </si>
  <si>
    <t>Government bans on specific imports (e.g., Iran Kiwi) can directly hit utilisation overnight</t>
  </si>
  <si>
    <t>Phase-II re-engineering completed; new 30,160 sq ft warehouses now generating lease income</t>
  </si>
  <si>
    <t>Weather-dependent crop yields; hailstorms during pre-harvest affect supply volumes</t>
  </si>
  <si>
    <t>Government push on agri-logistics and FDI in cold chain presents growth avenues</t>
  </si>
  <si>
    <t>Inability to recover dues from 9+ litigating debtors totaling approx INR 190 lakhs</t>
  </si>
  <si>
    <t>SEGMENT ANALYSIS</t>
  </si>
  <si>
    <t>EXIM Segment</t>
  </si>
  <si>
    <t>Domestic Segment</t>
  </si>
  <si>
    <t>EXIM Segment Revenue FY23: INR 86.57 lakhs (vs INR 169.63 lakhs in FY22)</t>
  </si>
  <si>
    <t>Domestic Segment Revenue FY23: INR 481.32 lakhs (vs INR 516.01 lakhs in FY22)</t>
  </si>
  <si>
    <t>EXIM segment loss: INR (44.01) lakhs vs INR (92.64) lakhs; loss reducing</t>
  </si>
  <si>
    <t>Domestic segment loss: INR (244.91) lakhs vs INR (284.52) lakhs; improving</t>
  </si>
  <si>
    <t>Segment driven by Custom Bonded Warehouse charges; impacted by Iran Kiwi ban</t>
  </si>
  <si>
    <t>Segment driven by Cooling Charges (INR 424.57 L) and Handling Income (INR 56.75 L)</t>
  </si>
  <si>
    <t>EXIM Revenue down 49% YoY due to direct clearance by importers</t>
  </si>
  <si>
    <t>36 chambers operational: 7 CBW + 20 Chillers + 9 CA as at 31 March 2023</t>
  </si>
  <si>
    <t>Bonded Warehouse Charges: INR 77.66 lakhs FY23 vs INR 153.87 lakhs FY22</t>
  </si>
  <si>
    <t>Products stored: Apple, Kiwi, Oranges, Dates, Pears, Almonds, Walnuts, Garlic, Grapes etc.</t>
  </si>
  <si>
    <t>FINANCIAL TRENDS</t>
  </si>
  <si>
    <t>Metric</t>
  </si>
  <si>
    <t>Commentary</t>
  </si>
  <si>
    <t>Revenue Trajectory</t>
  </si>
  <si>
    <t>Revenue declining consistently: FY22 INR 685 L to FY23 INR 568 L (-17%); recovery path unclear</t>
  </si>
  <si>
    <t>Loss Reduction</t>
  </si>
  <si>
    <t>Net loss improved 31% from INR 372.55 L to INR 257.40 L; positive trend but base effect of lower depreciation</t>
  </si>
  <si>
    <t>Capital Structure</t>
  </si>
  <si>
    <t>CONCOR infused INR 821 L in FY23 and INR 546 L in FY22; company fully dependent on parent for capex</t>
  </si>
  <si>
    <t>Cash Position</t>
  </si>
  <si>
    <t>Cash balance tripled from INR 141 L to INR 386 L; reflecting equity infusion more than operating improvement</t>
  </si>
  <si>
    <t>Depreciation Burden</t>
  </si>
  <si>
    <t>Depreciation at INR 259 L (FY23) vs INR 455 L (FY22); decline due to assets being fully depreciated</t>
  </si>
  <si>
    <t>Accumulated Losses</t>
  </si>
  <si>
    <t>Accumulated losses at INR 19,017 L; 6.6x the annual revenue; structural issue</t>
  </si>
  <si>
    <t>MANAGEMENT &amp; GOVERNANCE</t>
  </si>
  <si>
    <t>Topic</t>
  </si>
  <si>
    <t>Detail</t>
  </si>
  <si>
    <t>Parent Company</t>
  </si>
  <si>
    <t>100% subsidiary of CONCOR (Navratna PSU under Ministry of Railways); board fully appointed by CONCOR</t>
  </si>
  <si>
    <t>Board Composition</t>
  </si>
  <si>
    <t>4 Part-time Non-Executive Directors as at 31 March 2023; no independent directors (exempt as wholly owned sub)</t>
  </si>
  <si>
    <t>Key Management</t>
  </si>
  <si>
    <t>CEO: Santosh Sinha  |  CFO: Ravindra Bhat  |  CS: Suman Lata; compensation paid by CONCOR</t>
  </si>
  <si>
    <t>Statutory Audit</t>
  </si>
  <si>
    <t>M/s Deepak Gulati &amp; Associates appointed by C&amp;AG; remuneration INR 1.08 L + GST; opinion unmodified</t>
  </si>
  <si>
    <t>Secretarial Audit</t>
  </si>
  <si>
    <t>M/s Amit Agrawal &amp; Associates; clean report with no adverse observations</t>
  </si>
  <si>
    <t>C&amp;AG Review</t>
  </si>
  <si>
    <t>C&amp;AG decided not to conduct supplementary audit; no comments issued for FY 2022-23</t>
  </si>
  <si>
    <t>CSR</t>
  </si>
  <si>
    <t>Not applicable; company is a loss-making entity, hence exempt from CSR spend under Companies Act 2013</t>
  </si>
  <si>
    <t>KEY RISKS</t>
  </si>
  <si>
    <t>Risk Area</t>
  </si>
  <si>
    <t>Mitigation / Status</t>
  </si>
  <si>
    <t>Going Concern Risk</t>
  </si>
  <si>
    <t>HIGH - Company has been loss-making for 10+ consecutive years; survival depends on CONCOR equity infusion</t>
  </si>
  <si>
    <t>Revenue Concentration Risk</t>
  </si>
  <si>
    <t>MEDIUM - Heavily reliant on apple and Kiwi import volumes; seasonal and import-policy sensitive</t>
  </si>
  <si>
    <t>Credit / Debtor Risk</t>
  </si>
  <si>
    <t>MEDIUM-HIGH - INR 190 lakhs in disputed receivables; multiple active legal cases; no provision made</t>
  </si>
  <si>
    <t>Regulatory Risk</t>
  </si>
  <si>
    <t>HIGH - Govt of India import bans (e.g., Iran Kiwi) directly impact revenue; no control over policy</t>
  </si>
  <si>
    <t>Operational Risk</t>
  </si>
  <si>
    <t>LOW - Facility operational 24x7; 36 chambers rented; no major breakdown reported in FY23</t>
  </si>
  <si>
    <t>Parent Dependency Risk</t>
  </si>
  <si>
    <t>HIGH - Zero standalone financial viability; requires CONCOR capital support for every capex cycle</t>
  </si>
  <si>
    <t>Financial Health Analysis</t>
  </si>
  <si>
    <t>Indian Rupees (INR Lakhs)</t>
  </si>
  <si>
    <t>Negligible inventory effect - services based</t>
  </si>
  <si>
    <t>Anjani Kumar Mishra</t>
  </si>
  <si>
    <t>https://inakm.github.io</t>
  </si>
  <si>
    <t>https://www.linkedin.com/in/inakmm</t>
  </si>
  <si>
    <t>LinkedIn Profile</t>
  </si>
  <si>
    <t>Portfolio</t>
  </si>
  <si>
    <t>Extremely thin workforce for a multi-crore infrastructure business</t>
  </si>
  <si>
    <t>RATIO ANALYSIS  |  FY 2022-23 vs 2021-22</t>
  </si>
  <si>
    <t>Made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</si>
</sst>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;\(0.0%\);\-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sz val="12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0"/>
      <color rgb="FF2E75B6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10"/>
      <color theme="1"/>
      <name val="Arial"/>
      <family val="2"/>
    </font>
    <font>
      <i/>
      <sz val="9"/>
      <color rgb="FF595959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  <charset val="1"/>
    </font>
    <font>
      <sz val="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D9E1F2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E1F2"/>
      </patternFill>
    </fill>
  </fills>
  <borders count="1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0">
    <xf numFmtId="0" fontId="0" fillId="0" borderId="0" xfId="0"/>
    <xf numFmtId="0" fontId="9" fillId="2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10" fillId="4" borderId="2" xfId="0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right" vertical="center"/>
    </xf>
    <xf numFmtId="164" fontId="4" fillId="4" borderId="2" xfId="0" applyNumberFormat="1" applyFont="1" applyFill="1" applyBorder="1" applyAlignment="1">
      <alignment horizontal="right" vertical="center"/>
    </xf>
    <xf numFmtId="0" fontId="4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right" vertical="center"/>
    </xf>
    <xf numFmtId="0" fontId="4" fillId="5" borderId="2" xfId="0" applyFont="1" applyFill="1" applyBorder="1" applyAlignment="1">
      <alignment horizontal="right" vertical="center"/>
    </xf>
    <xf numFmtId="164" fontId="4" fillId="5" borderId="2" xfId="0" applyNumberFormat="1" applyFont="1" applyFill="1" applyBorder="1" applyAlignment="1">
      <alignment horizontal="right" vertical="center"/>
    </xf>
    <xf numFmtId="0" fontId="3" fillId="4" borderId="2" xfId="0" applyFont="1" applyFill="1" applyBorder="1" applyAlignment="1">
      <alignment horizontal="left" vertical="center"/>
    </xf>
    <xf numFmtId="164" fontId="5" fillId="5" borderId="2" xfId="0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0" fontId="12" fillId="8" borderId="2" xfId="0" applyFont="1" applyFill="1" applyBorder="1" applyAlignment="1">
      <alignment horizontal="left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left" vertical="center" wrapText="1"/>
    </xf>
    <xf numFmtId="0" fontId="12" fillId="11" borderId="2" xfId="0" applyFont="1" applyFill="1" applyBorder="1" applyAlignment="1">
      <alignment horizontal="left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2" fillId="4" borderId="2" xfId="0" applyFont="1" applyFill="1" applyBorder="1" applyAlignment="1">
      <alignment horizontal="left" vertical="center" wrapText="1"/>
    </xf>
    <xf numFmtId="0" fontId="10" fillId="5" borderId="2" xfId="0" applyNumberFormat="1" applyFont="1" applyFill="1" applyBorder="1" applyAlignment="1">
      <alignment horizontal="right" vertical="center"/>
    </xf>
    <xf numFmtId="0" fontId="10" fillId="4" borderId="2" xfId="0" applyNumberFormat="1" applyFont="1" applyFill="1" applyBorder="1" applyAlignment="1">
      <alignment horizontal="right" vertical="center"/>
    </xf>
    <xf numFmtId="2" fontId="13" fillId="4" borderId="2" xfId="0" applyNumberFormat="1" applyFont="1" applyFill="1" applyBorder="1" applyAlignment="1">
      <alignment horizontal="right" vertical="center"/>
    </xf>
    <xf numFmtId="2" fontId="13" fillId="5" borderId="2" xfId="0" applyNumberFormat="1" applyFont="1" applyFill="1" applyBorder="1" applyAlignment="1">
      <alignment horizontal="right" vertical="center"/>
    </xf>
    <xf numFmtId="2" fontId="4" fillId="5" borderId="2" xfId="0" applyNumberFormat="1" applyFont="1" applyFill="1" applyBorder="1" applyAlignment="1">
      <alignment horizontal="right" vertical="center"/>
    </xf>
    <xf numFmtId="10" fontId="13" fillId="4" borderId="2" xfId="0" applyNumberFormat="1" applyFont="1" applyFill="1" applyBorder="1" applyAlignment="1">
      <alignment horizontal="right" vertical="center"/>
    </xf>
    <xf numFmtId="10" fontId="13" fillId="5" borderId="2" xfId="0" applyNumberFormat="1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left" vertical="center" wrapText="1"/>
    </xf>
    <xf numFmtId="1" fontId="4" fillId="4" borderId="2" xfId="0" applyNumberFormat="1" applyFont="1" applyFill="1" applyBorder="1" applyAlignment="1">
      <alignment horizontal="right" vertical="center"/>
    </xf>
    <xf numFmtId="0" fontId="15" fillId="0" borderId="3" xfId="0" applyFont="1" applyBorder="1"/>
    <xf numFmtId="0" fontId="0" fillId="0" borderId="4" xfId="0" applyBorder="1"/>
    <xf numFmtId="0" fontId="0" fillId="0" borderId="5" xfId="0" applyBorder="1"/>
    <xf numFmtId="0" fontId="15" fillId="0" borderId="6" xfId="0" applyFont="1" applyBorder="1"/>
    <xf numFmtId="0" fontId="0" fillId="0" borderId="0" xfId="0" applyBorder="1"/>
    <xf numFmtId="0" fontId="16" fillId="0" borderId="7" xfId="1" applyBorder="1"/>
    <xf numFmtId="0" fontId="15" fillId="0" borderId="8" xfId="0" applyFont="1" applyBorder="1"/>
    <xf numFmtId="0" fontId="0" fillId="0" borderId="9" xfId="0" applyBorder="1"/>
    <xf numFmtId="0" fontId="16" fillId="0" borderId="10" xfId="1" applyBorder="1"/>
    <xf numFmtId="0" fontId="17" fillId="8" borderId="2" xfId="0" applyFont="1" applyFill="1" applyBorder="1" applyAlignment="1">
      <alignment horizontal="left" vertical="center" wrapText="1"/>
    </xf>
    <xf numFmtId="0" fontId="7" fillId="4" borderId="1" xfId="0" applyFont="1" applyFill="1" applyBorder="1"/>
    <xf numFmtId="0" fontId="4" fillId="0" borderId="1" xfId="0" applyFont="1" applyBorder="1"/>
    <xf numFmtId="0" fontId="6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1" xfId="0" applyBorder="1"/>
    <xf numFmtId="164" fontId="4" fillId="4" borderId="2" xfId="0" applyNumberFormat="1" applyFont="1" applyFill="1" applyBorder="1" applyAlignment="1">
      <alignment horizontal="right" vertical="center"/>
    </xf>
    <xf numFmtId="164" fontId="4" fillId="5" borderId="2" xfId="0" applyNumberFormat="1" applyFont="1" applyFill="1" applyBorder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2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6E4F0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ECDEEF-C529-4FE6-9E12-AE663EF66327}">
  <we:reference id="wa200009404" version="1.0.0.8" store="en-US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inkedin.com/in/inakmm" TargetMode="External"/><Relationship Id="rId1" Type="http://schemas.openxmlformats.org/officeDocument/2006/relationships/hyperlink" Target="https://inakm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7"/>
  <sheetViews>
    <sheetView showGridLines="0" zoomScaleNormal="100" workbookViewId="0">
      <selection activeCell="C30" sqref="C30"/>
    </sheetView>
  </sheetViews>
  <sheetFormatPr defaultColWidth="8.5703125" defaultRowHeight="15" x14ac:dyDescent="0.25"/>
  <cols>
    <col min="1" max="1" width="2" customWidth="1"/>
    <col min="2" max="3" width="28" customWidth="1"/>
    <col min="4" max="4" width="36.140625" bestFit="1" customWidth="1"/>
    <col min="5" max="5" width="18" customWidth="1"/>
    <col min="6" max="6" width="9.140625" customWidth="1"/>
    <col min="7" max="7" width="5.7109375" customWidth="1"/>
    <col min="8" max="8" width="6.5703125" customWidth="1"/>
  </cols>
  <sheetData>
    <row r="2" spans="2:8" ht="36" customHeight="1" x14ac:dyDescent="0.25">
      <c r="B2" s="50" t="s">
        <v>0</v>
      </c>
      <c r="C2" s="50"/>
      <c r="D2" s="50"/>
      <c r="E2" s="50"/>
      <c r="F2" s="50"/>
      <c r="G2" s="50"/>
      <c r="H2" s="50"/>
    </row>
    <row r="3" spans="2:8" ht="24" customHeight="1" x14ac:dyDescent="0.25">
      <c r="B3" s="51" t="s">
        <v>1</v>
      </c>
      <c r="C3" s="51"/>
      <c r="D3" s="51"/>
      <c r="E3" s="51"/>
      <c r="F3" s="51"/>
      <c r="G3" s="51"/>
      <c r="H3" s="51"/>
    </row>
    <row r="5" spans="2:8" ht="15" customHeight="1" x14ac:dyDescent="0.25">
      <c r="B5" s="47" t="s">
        <v>2</v>
      </c>
      <c r="C5" s="47"/>
      <c r="D5" s="48" t="s">
        <v>3</v>
      </c>
      <c r="E5" s="48"/>
      <c r="F5" s="48"/>
      <c r="G5" s="48"/>
      <c r="H5" s="48"/>
    </row>
    <row r="6" spans="2:8" ht="15" customHeight="1" x14ac:dyDescent="0.25">
      <c r="B6" s="47" t="s">
        <v>4</v>
      </c>
      <c r="C6" s="47"/>
      <c r="D6" s="48" t="s">
        <v>5</v>
      </c>
      <c r="E6" s="48"/>
      <c r="F6" s="48"/>
      <c r="G6" s="48"/>
      <c r="H6" s="48"/>
    </row>
    <row r="7" spans="2:8" ht="15" customHeight="1" x14ac:dyDescent="0.25">
      <c r="B7" s="47" t="s">
        <v>6</v>
      </c>
      <c r="C7" s="47"/>
      <c r="D7" s="48" t="s">
        <v>7</v>
      </c>
      <c r="E7" s="48"/>
      <c r="F7" s="48"/>
      <c r="G7" s="48"/>
      <c r="H7" s="48"/>
    </row>
    <row r="8" spans="2:8" ht="15" customHeight="1" x14ac:dyDescent="0.25">
      <c r="B8" s="47" t="s">
        <v>8</v>
      </c>
      <c r="C8" s="47"/>
      <c r="D8" s="48" t="s">
        <v>9</v>
      </c>
      <c r="E8" s="48"/>
      <c r="F8" s="48"/>
      <c r="G8" s="48"/>
      <c r="H8" s="48"/>
    </row>
    <row r="9" spans="2:8" ht="15" customHeight="1" x14ac:dyDescent="0.25">
      <c r="B9" s="47" t="s">
        <v>10</v>
      </c>
      <c r="C9" s="47"/>
      <c r="D9" s="48" t="s">
        <v>11</v>
      </c>
      <c r="E9" s="48"/>
      <c r="F9" s="48"/>
      <c r="G9" s="48"/>
      <c r="H9" s="48"/>
    </row>
    <row r="10" spans="2:8" ht="15" customHeight="1" x14ac:dyDescent="0.25">
      <c r="B10" s="47" t="s">
        <v>12</v>
      </c>
      <c r="C10" s="47"/>
      <c r="D10" s="48" t="s">
        <v>13</v>
      </c>
      <c r="E10" s="48"/>
      <c r="F10" s="48"/>
      <c r="G10" s="48"/>
      <c r="H10" s="48"/>
    </row>
    <row r="11" spans="2:8" ht="15" customHeight="1" x14ac:dyDescent="0.25">
      <c r="B11" s="47" t="s">
        <v>14</v>
      </c>
      <c r="C11" s="47"/>
      <c r="D11" s="48" t="s">
        <v>267</v>
      </c>
      <c r="E11" s="48"/>
      <c r="F11" s="48"/>
      <c r="G11" s="48"/>
      <c r="H11" s="48"/>
    </row>
    <row r="12" spans="2:8" ht="15" customHeight="1" x14ac:dyDescent="0.25">
      <c r="B12" s="47" t="s">
        <v>15</v>
      </c>
      <c r="C12" s="47"/>
      <c r="D12" s="48" t="s">
        <v>16</v>
      </c>
      <c r="E12" s="48"/>
      <c r="F12" s="48"/>
      <c r="G12" s="48"/>
      <c r="H12" s="48"/>
    </row>
    <row r="13" spans="2:8" ht="15" customHeight="1" x14ac:dyDescent="0.25">
      <c r="B13" s="47" t="s">
        <v>17</v>
      </c>
      <c r="C13" s="47"/>
      <c r="D13" s="48" t="s">
        <v>266</v>
      </c>
      <c r="E13" s="48"/>
      <c r="F13" s="48"/>
      <c r="G13" s="48"/>
      <c r="H13" s="48"/>
    </row>
    <row r="14" spans="2:8" ht="15" customHeight="1" x14ac:dyDescent="0.25">
      <c r="B14" s="47" t="s">
        <v>18</v>
      </c>
      <c r="C14" s="47"/>
      <c r="D14" s="48" t="s">
        <v>19</v>
      </c>
      <c r="E14" s="48"/>
      <c r="F14" s="48"/>
      <c r="G14" s="48"/>
      <c r="H14" s="48"/>
    </row>
    <row r="16" spans="2:8" ht="15" customHeight="1" x14ac:dyDescent="0.25">
      <c r="B16" s="49" t="s">
        <v>20</v>
      </c>
      <c r="C16" s="49"/>
      <c r="D16" s="49"/>
      <c r="E16" s="49"/>
      <c r="F16" s="49"/>
      <c r="G16" s="49"/>
      <c r="H16" s="49"/>
    </row>
    <row r="18" spans="2:8" ht="15" customHeight="1" x14ac:dyDescent="0.25">
      <c r="B18" s="46" t="s">
        <v>21</v>
      </c>
      <c r="C18" s="46"/>
      <c r="D18" s="46"/>
      <c r="E18" s="46"/>
      <c r="F18" s="46"/>
      <c r="G18" s="46"/>
      <c r="H18" s="46"/>
    </row>
    <row r="19" spans="2:8" ht="15" customHeight="1" x14ac:dyDescent="0.25">
      <c r="B19" s="44" t="s">
        <v>22</v>
      </c>
      <c r="C19" s="44"/>
      <c r="D19" s="45" t="s">
        <v>23</v>
      </c>
      <c r="E19" s="45"/>
      <c r="F19" s="45"/>
      <c r="G19" s="45"/>
      <c r="H19" s="45"/>
    </row>
    <row r="20" spans="2:8" ht="15" customHeight="1" x14ac:dyDescent="0.25">
      <c r="B20" s="44" t="s">
        <v>24</v>
      </c>
      <c r="C20" s="44"/>
      <c r="D20" s="45" t="s">
        <v>25</v>
      </c>
      <c r="E20" s="45"/>
      <c r="F20" s="45"/>
      <c r="G20" s="45"/>
      <c r="H20" s="45"/>
    </row>
    <row r="21" spans="2:8" ht="15" customHeight="1" x14ac:dyDescent="0.25">
      <c r="B21" s="44" t="s">
        <v>26</v>
      </c>
      <c r="C21" s="44"/>
      <c r="D21" s="45" t="s">
        <v>27</v>
      </c>
      <c r="E21" s="45"/>
      <c r="F21" s="45"/>
      <c r="G21" s="45"/>
      <c r="H21" s="45"/>
    </row>
    <row r="22" spans="2:8" ht="15" customHeight="1" x14ac:dyDescent="0.25">
      <c r="B22" s="44" t="s">
        <v>28</v>
      </c>
      <c r="C22" s="44"/>
      <c r="D22" s="45" t="s">
        <v>29</v>
      </c>
      <c r="E22" s="45"/>
      <c r="F22" s="45"/>
      <c r="G22" s="45"/>
      <c r="H22" s="45"/>
    </row>
    <row r="23" spans="2:8" ht="15" customHeight="1" x14ac:dyDescent="0.25">
      <c r="B23" s="44" t="s">
        <v>30</v>
      </c>
      <c r="C23" s="44"/>
      <c r="D23" s="45" t="s">
        <v>31</v>
      </c>
      <c r="E23" s="45"/>
      <c r="F23" s="45"/>
      <c r="G23" s="45"/>
      <c r="H23" s="45"/>
    </row>
    <row r="24" spans="2:8" ht="15.75" thickBot="1" x14ac:dyDescent="0.3"/>
    <row r="25" spans="2:8" x14ac:dyDescent="0.25">
      <c r="B25" s="34" t="s">
        <v>276</v>
      </c>
      <c r="C25" s="35"/>
      <c r="D25" s="36" t="s">
        <v>269</v>
      </c>
    </row>
    <row r="26" spans="2:8" x14ac:dyDescent="0.25">
      <c r="B26" s="37" t="s">
        <v>273</v>
      </c>
      <c r="C26" s="38"/>
      <c r="D26" s="39" t="s">
        <v>270</v>
      </c>
    </row>
    <row r="27" spans="2:8" ht="15.75" thickBot="1" x14ac:dyDescent="0.3">
      <c r="B27" s="40" t="s">
        <v>272</v>
      </c>
      <c r="C27" s="41"/>
      <c r="D27" s="42" t="s">
        <v>271</v>
      </c>
    </row>
  </sheetData>
  <mergeCells count="34">
    <mergeCell ref="B2:H2"/>
    <mergeCell ref="B3:H3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6:H16"/>
    <mergeCell ref="B18:H18"/>
    <mergeCell ref="B19:C19"/>
    <mergeCell ref="D19:H19"/>
    <mergeCell ref="B20:C20"/>
    <mergeCell ref="D20:H20"/>
    <mergeCell ref="B21:C21"/>
    <mergeCell ref="D21:H21"/>
    <mergeCell ref="B22:C22"/>
    <mergeCell ref="D22:H22"/>
    <mergeCell ref="B23:C23"/>
    <mergeCell ref="D23:H23"/>
  </mergeCells>
  <hyperlinks>
    <hyperlink ref="D26" r:id="rId1"/>
    <hyperlink ref="D27" r:id="rId2"/>
  </hyperlinks>
  <pageMargins left="0.75" right="0.75" top="1" bottom="1" header="0.511811023622047" footer="0.511811023622047"/>
  <pageSetup paperSize="9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Z45"/>
  <sheetViews>
    <sheetView showGridLines="0" zoomScaleNormal="100" workbookViewId="0">
      <selection activeCell="X30" sqref="X30"/>
    </sheetView>
  </sheetViews>
  <sheetFormatPr defaultColWidth="8.5703125" defaultRowHeight="15" x14ac:dyDescent="0.25"/>
  <cols>
    <col min="1" max="1" width="2" customWidth="1"/>
    <col min="2" max="2" width="30.5703125" bestFit="1" customWidth="1"/>
    <col min="3" max="4" width="20" customWidth="1"/>
    <col min="5" max="5" width="15.140625" bestFit="1" customWidth="1"/>
    <col min="6" max="6" width="4.42578125" bestFit="1" customWidth="1"/>
    <col min="7" max="7" width="7.28515625" customWidth="1"/>
    <col min="8" max="8" width="1.85546875" customWidth="1"/>
    <col min="9" max="9" width="33.42578125" bestFit="1" customWidth="1"/>
    <col min="10" max="11" width="10.42578125" bestFit="1" customWidth="1"/>
    <col min="12" max="12" width="15.140625" bestFit="1" customWidth="1"/>
    <col min="15" max="15" width="2.140625" customWidth="1"/>
    <col min="16" max="16" width="36.140625" bestFit="1" customWidth="1"/>
    <col min="17" max="18" width="10.42578125" bestFit="1" customWidth="1"/>
    <col min="19" max="19" width="15.140625" bestFit="1" customWidth="1"/>
    <col min="22" max="22" width="2" customWidth="1"/>
    <col min="23" max="23" width="30.5703125" bestFit="1" customWidth="1"/>
    <col min="24" max="24" width="16.5703125" bestFit="1" customWidth="1"/>
    <col min="25" max="25" width="10.42578125" bestFit="1" customWidth="1"/>
    <col min="26" max="26" width="39.85546875" bestFit="1" customWidth="1"/>
  </cols>
  <sheetData>
    <row r="1" spans="2:26" ht="24" customHeight="1" x14ac:dyDescent="0.25">
      <c r="B1" s="57" t="s">
        <v>32</v>
      </c>
      <c r="C1" s="57"/>
      <c r="D1" s="57"/>
      <c r="E1" s="57"/>
      <c r="F1" s="57"/>
      <c r="G1" s="57"/>
      <c r="I1" s="57" t="s">
        <v>61</v>
      </c>
      <c r="J1" s="57"/>
      <c r="K1" s="57"/>
      <c r="L1" s="57"/>
      <c r="M1" s="57"/>
      <c r="N1" s="57"/>
      <c r="P1" s="57" t="s">
        <v>99</v>
      </c>
      <c r="Q1" s="57"/>
      <c r="R1" s="57"/>
      <c r="S1" s="57"/>
      <c r="T1" s="57"/>
      <c r="U1" s="57"/>
      <c r="W1" s="57" t="s">
        <v>275</v>
      </c>
      <c r="X1" s="57"/>
      <c r="Y1" s="57"/>
      <c r="Z1" s="57"/>
    </row>
    <row r="2" spans="2:26" x14ac:dyDescent="0.25">
      <c r="B2" s="1" t="s">
        <v>33</v>
      </c>
      <c r="C2" s="1" t="s">
        <v>34</v>
      </c>
      <c r="D2" s="1" t="s">
        <v>35</v>
      </c>
      <c r="E2" s="1" t="s">
        <v>36</v>
      </c>
      <c r="F2" s="56" t="s">
        <v>37</v>
      </c>
      <c r="G2" s="56"/>
      <c r="I2" s="1" t="s">
        <v>33</v>
      </c>
      <c r="J2" s="1" t="s">
        <v>34</v>
      </c>
      <c r="K2" s="1" t="s">
        <v>35</v>
      </c>
      <c r="L2" s="1" t="s">
        <v>36</v>
      </c>
      <c r="M2" s="56" t="s">
        <v>37</v>
      </c>
      <c r="N2" s="56"/>
      <c r="P2" s="1" t="s">
        <v>33</v>
      </c>
      <c r="Q2" s="1" t="s">
        <v>34</v>
      </c>
      <c r="R2" s="1" t="s">
        <v>35</v>
      </c>
      <c r="S2" s="1" t="s">
        <v>36</v>
      </c>
      <c r="T2" s="56" t="s">
        <v>37</v>
      </c>
      <c r="U2" s="56"/>
      <c r="W2" s="1" t="s">
        <v>131</v>
      </c>
      <c r="X2" s="1" t="s">
        <v>34</v>
      </c>
      <c r="Y2" s="1" t="s">
        <v>35</v>
      </c>
      <c r="Z2" s="1" t="s">
        <v>132</v>
      </c>
    </row>
    <row r="3" spans="2:26" ht="15" customHeight="1" x14ac:dyDescent="0.25">
      <c r="B3" s="55" t="s">
        <v>38</v>
      </c>
      <c r="C3" s="55"/>
      <c r="D3" s="55"/>
      <c r="E3" s="55"/>
      <c r="F3" s="55"/>
      <c r="G3" s="55"/>
      <c r="I3" s="55" t="s">
        <v>62</v>
      </c>
      <c r="J3" s="55"/>
      <c r="K3" s="55"/>
      <c r="L3" s="55"/>
      <c r="M3" s="55"/>
      <c r="N3" s="55"/>
      <c r="P3" s="55" t="s">
        <v>100</v>
      </c>
      <c r="Q3" s="55"/>
      <c r="R3" s="55"/>
      <c r="S3" s="55"/>
      <c r="T3" s="55"/>
      <c r="U3" s="55"/>
      <c r="W3" s="55" t="s">
        <v>133</v>
      </c>
      <c r="X3" s="55"/>
      <c r="Y3" s="55"/>
      <c r="Z3" s="55"/>
    </row>
    <row r="4" spans="2:26" ht="15" customHeight="1" x14ac:dyDescent="0.25">
      <c r="B4" s="2" t="s">
        <v>39</v>
      </c>
      <c r="C4" s="3">
        <v>567.89</v>
      </c>
      <c r="D4" s="3">
        <v>685.64</v>
      </c>
      <c r="E4" s="4">
        <f>C4-D4</f>
        <v>-117.75</v>
      </c>
      <c r="F4" s="53">
        <f>(C4-D4)/ABS(D4)</f>
        <v>-0.17173735488011202</v>
      </c>
      <c r="G4" s="53"/>
      <c r="I4" s="58" t="s">
        <v>63</v>
      </c>
      <c r="J4" s="58"/>
      <c r="K4" s="58"/>
      <c r="L4" s="58"/>
      <c r="M4" s="58"/>
      <c r="N4" s="58"/>
      <c r="P4" s="2" t="s">
        <v>101</v>
      </c>
      <c r="Q4" s="3">
        <v>-257.39999999999998</v>
      </c>
      <c r="R4" s="3">
        <v>-372.55</v>
      </c>
      <c r="S4" s="4">
        <f t="shared" ref="S4:S19" si="0">Q4-R4</f>
        <v>115.15000000000003</v>
      </c>
      <c r="T4" s="53">
        <f t="shared" ref="T4:T19" si="1">(Q4-R4)/ABS(R4)</f>
        <v>0.30908602872097712</v>
      </c>
      <c r="U4" s="53"/>
      <c r="W4" s="2" t="s">
        <v>134</v>
      </c>
      <c r="X4" s="27">
        <f>J21/J41</f>
        <v>2.6108227043008907</v>
      </c>
      <c r="Y4" s="27">
        <f>K21/K41</f>
        <v>1.4697792786179218</v>
      </c>
      <c r="Z4" s="14" t="s">
        <v>135</v>
      </c>
    </row>
    <row r="5" spans="2:26" ht="15" customHeight="1" x14ac:dyDescent="0.25">
      <c r="B5" s="6" t="s">
        <v>40</v>
      </c>
      <c r="C5" s="7">
        <v>44.64</v>
      </c>
      <c r="D5" s="7">
        <v>11.4</v>
      </c>
      <c r="E5" s="8">
        <f>C5-D5</f>
        <v>33.24</v>
      </c>
      <c r="F5" s="54">
        <f>(C5-D5)/ABS(D5)</f>
        <v>2.9157894736842107</v>
      </c>
      <c r="G5" s="54"/>
      <c r="I5" s="6" t="s">
        <v>64</v>
      </c>
      <c r="J5" s="7">
        <v>2543.5300000000002</v>
      </c>
      <c r="K5" s="7">
        <v>2489.5700000000002</v>
      </c>
      <c r="L5" s="8">
        <f t="shared" ref="L5:L11" si="2">J5-K5</f>
        <v>53.960000000000036</v>
      </c>
      <c r="M5" s="54">
        <f t="shared" ref="M5:M11" si="3">(J5-K5)/ABS(K5)</f>
        <v>2.1674425704037256E-2</v>
      </c>
      <c r="N5" s="54"/>
      <c r="P5" s="6" t="s">
        <v>102</v>
      </c>
      <c r="Q5" s="7">
        <v>259.68</v>
      </c>
      <c r="R5" s="7">
        <v>455.54</v>
      </c>
      <c r="S5" s="8">
        <f t="shared" si="0"/>
        <v>-195.86</v>
      </c>
      <c r="T5" s="54">
        <f t="shared" si="1"/>
        <v>-0.4299512666286166</v>
      </c>
      <c r="U5" s="54"/>
      <c r="W5" s="6" t="s">
        <v>136</v>
      </c>
      <c r="X5" s="28">
        <f>(J21-J14)/J41</f>
        <v>2.6107539450613682</v>
      </c>
      <c r="Y5" s="28">
        <f>(K21-K14)/K41</f>
        <v>1.4697303381784368</v>
      </c>
      <c r="Z5" s="32" t="s">
        <v>268</v>
      </c>
    </row>
    <row r="6" spans="2:26" ht="15" customHeight="1" x14ac:dyDescent="0.25">
      <c r="B6" s="10" t="s">
        <v>41</v>
      </c>
      <c r="C6" s="4">
        <f>C4+C5</f>
        <v>612.53</v>
      </c>
      <c r="D6" s="4">
        <f>D4+D5</f>
        <v>697.04</v>
      </c>
      <c r="E6" s="4">
        <f>C6-D6</f>
        <v>-84.509999999999991</v>
      </c>
      <c r="F6" s="53">
        <f>(C6-D6)/ABS(D6)</f>
        <v>-0.12124124870882588</v>
      </c>
      <c r="G6" s="53"/>
      <c r="I6" s="2" t="s">
        <v>65</v>
      </c>
      <c r="J6" s="3">
        <v>0.5</v>
      </c>
      <c r="K6" s="3">
        <v>0.73</v>
      </c>
      <c r="L6" s="4">
        <f t="shared" si="2"/>
        <v>-0.22999999999999998</v>
      </c>
      <c r="M6" s="53">
        <f t="shared" si="3"/>
        <v>-0.31506849315068491</v>
      </c>
      <c r="N6" s="53"/>
      <c r="P6" s="2" t="s">
        <v>103</v>
      </c>
      <c r="Q6" s="3">
        <v>-12.33</v>
      </c>
      <c r="R6" s="3">
        <v>-7.18</v>
      </c>
      <c r="S6" s="4">
        <f t="shared" si="0"/>
        <v>-5.15</v>
      </c>
      <c r="T6" s="53">
        <f t="shared" si="1"/>
        <v>-0.71727019498607247</v>
      </c>
      <c r="U6" s="53"/>
      <c r="W6" s="2" t="s">
        <v>137</v>
      </c>
      <c r="X6" s="27">
        <f>J16/J41</f>
        <v>1.3262969711554993</v>
      </c>
      <c r="Y6" s="27">
        <f>K16/K41</f>
        <v>0.34556844320461994</v>
      </c>
      <c r="Z6" s="14" t="s">
        <v>138</v>
      </c>
    </row>
    <row r="7" spans="2:26" x14ac:dyDescent="0.25">
      <c r="I7" s="6" t="s">
        <v>66</v>
      </c>
      <c r="J7" s="7">
        <v>960.6</v>
      </c>
      <c r="K7" s="7">
        <v>653.95000000000005</v>
      </c>
      <c r="L7" s="8">
        <f t="shared" si="2"/>
        <v>306.64999999999998</v>
      </c>
      <c r="M7" s="54">
        <f t="shared" si="3"/>
        <v>0.46891964217447812</v>
      </c>
      <c r="N7" s="54"/>
      <c r="P7" s="6" t="s">
        <v>104</v>
      </c>
      <c r="Q7" s="7">
        <v>-27.61</v>
      </c>
      <c r="R7" s="7">
        <v>-1.5</v>
      </c>
      <c r="S7" s="8">
        <f t="shared" si="0"/>
        <v>-26.11</v>
      </c>
      <c r="T7" s="54">
        <f t="shared" si="1"/>
        <v>-17.406666666666666</v>
      </c>
      <c r="U7" s="54"/>
      <c r="W7" s="55" t="s">
        <v>139</v>
      </c>
      <c r="X7" s="55"/>
      <c r="Y7" s="55"/>
      <c r="Z7" s="55"/>
    </row>
    <row r="8" spans="2:26" ht="15" customHeight="1" x14ac:dyDescent="0.25">
      <c r="B8" s="55" t="s">
        <v>42</v>
      </c>
      <c r="C8" s="55"/>
      <c r="D8" s="55"/>
      <c r="E8" s="55"/>
      <c r="F8" s="55"/>
      <c r="G8" s="55"/>
      <c r="I8" s="2" t="s">
        <v>67</v>
      </c>
      <c r="J8" s="3">
        <v>0.01</v>
      </c>
      <c r="K8" s="3">
        <v>0.13</v>
      </c>
      <c r="L8" s="4">
        <f t="shared" si="2"/>
        <v>-0.12000000000000001</v>
      </c>
      <c r="M8" s="53">
        <f t="shared" si="3"/>
        <v>-0.92307692307692313</v>
      </c>
      <c r="N8" s="53"/>
      <c r="P8" s="2" t="s">
        <v>105</v>
      </c>
      <c r="Q8" s="3">
        <v>13.12</v>
      </c>
      <c r="R8" s="3">
        <v>6.79</v>
      </c>
      <c r="S8" s="4">
        <f t="shared" si="0"/>
        <v>6.3299999999999992</v>
      </c>
      <c r="T8" s="53">
        <f t="shared" si="1"/>
        <v>0.93225331369661257</v>
      </c>
      <c r="U8" s="53"/>
      <c r="W8" s="2" t="s">
        <v>140</v>
      </c>
      <c r="X8" s="16" t="s">
        <v>141</v>
      </c>
      <c r="Y8" s="16" t="s">
        <v>141</v>
      </c>
      <c r="Z8" s="14" t="s">
        <v>142</v>
      </c>
    </row>
    <row r="9" spans="2:26" ht="15" customHeight="1" x14ac:dyDescent="0.25">
      <c r="B9" s="6" t="s">
        <v>43</v>
      </c>
      <c r="C9" s="7">
        <v>455.84</v>
      </c>
      <c r="D9" s="7">
        <v>470.73</v>
      </c>
      <c r="E9" s="8">
        <f t="shared" ref="E9:E14" si="4">C9-D9</f>
        <v>-14.890000000000043</v>
      </c>
      <c r="F9" s="54">
        <f t="shared" ref="F9:F14" si="5">(C9-D9)/ABS(D9)</f>
        <v>-3.1631720944065689E-2</v>
      </c>
      <c r="G9" s="54"/>
      <c r="I9" s="6" t="s">
        <v>68</v>
      </c>
      <c r="J9" s="7">
        <v>47.29</v>
      </c>
      <c r="K9" s="7">
        <v>46.87</v>
      </c>
      <c r="L9" s="8">
        <f t="shared" si="2"/>
        <v>0.42000000000000171</v>
      </c>
      <c r="M9" s="54">
        <f t="shared" si="3"/>
        <v>8.9609558352891343E-3</v>
      </c>
      <c r="N9" s="54"/>
      <c r="P9" s="6" t="s">
        <v>106</v>
      </c>
      <c r="Q9" s="7">
        <v>-0.77</v>
      </c>
      <c r="R9" s="7">
        <v>-0.86</v>
      </c>
      <c r="S9" s="8">
        <f t="shared" si="0"/>
        <v>8.9999999999999969E-2</v>
      </c>
      <c r="T9" s="54">
        <f t="shared" si="1"/>
        <v>0.10465116279069764</v>
      </c>
      <c r="U9" s="54"/>
      <c r="W9" s="6" t="s">
        <v>143</v>
      </c>
      <c r="X9" s="29">
        <f>J42/J28</f>
        <v>0.1134161254521539</v>
      </c>
      <c r="Y9" s="29">
        <f>K42/K28</f>
        <v>0.14604436273626273</v>
      </c>
      <c r="Z9" s="15" t="s">
        <v>144</v>
      </c>
    </row>
    <row r="10" spans="2:26" ht="15" customHeight="1" x14ac:dyDescent="0.25">
      <c r="B10" s="2" t="s">
        <v>44</v>
      </c>
      <c r="C10" s="3">
        <v>36.58</v>
      </c>
      <c r="D10" s="3">
        <v>22.66</v>
      </c>
      <c r="E10" s="4">
        <f t="shared" si="4"/>
        <v>13.919999999999998</v>
      </c>
      <c r="F10" s="53">
        <f t="shared" si="5"/>
        <v>0.61429832303618703</v>
      </c>
      <c r="G10" s="53"/>
      <c r="I10" s="2" t="s">
        <v>69</v>
      </c>
      <c r="J10" s="3">
        <v>22.49</v>
      </c>
      <c r="K10" s="3">
        <v>23.08</v>
      </c>
      <c r="L10" s="4">
        <f>J10-K10</f>
        <v>-0.58999999999999986</v>
      </c>
      <c r="M10" s="53">
        <f t="shared" si="3"/>
        <v>-2.5563258232235698E-2</v>
      </c>
      <c r="N10" s="53"/>
      <c r="P10" s="10" t="s">
        <v>107</v>
      </c>
      <c r="Q10" s="4">
        <f>Q4+Q5+Q6+Q7+Q8+Q9</f>
        <v>-25.30999999999997</v>
      </c>
      <c r="R10" s="4">
        <f>R4+R5+R6+R7+R8+R9</f>
        <v>80.240000000000009</v>
      </c>
      <c r="S10" s="4">
        <f t="shared" si="0"/>
        <v>-105.54999999999998</v>
      </c>
      <c r="T10" s="53">
        <f t="shared" si="1"/>
        <v>-1.3154287138584244</v>
      </c>
      <c r="U10" s="53"/>
      <c r="W10" s="2" t="s">
        <v>145</v>
      </c>
      <c r="X10" s="16" t="s">
        <v>146</v>
      </c>
      <c r="Y10" s="16" t="s">
        <v>51</v>
      </c>
      <c r="Z10" s="14" t="s">
        <v>147</v>
      </c>
    </row>
    <row r="11" spans="2:26" ht="15" customHeight="1" x14ac:dyDescent="0.25">
      <c r="B11" s="6" t="s">
        <v>45</v>
      </c>
      <c r="C11" s="7">
        <v>13.12</v>
      </c>
      <c r="D11" s="7">
        <v>6.79</v>
      </c>
      <c r="E11" s="8">
        <f t="shared" si="4"/>
        <v>6.3299999999999992</v>
      </c>
      <c r="F11" s="54">
        <f t="shared" si="5"/>
        <v>0.93225331369661257</v>
      </c>
      <c r="G11" s="54"/>
      <c r="I11" s="12" t="s">
        <v>70</v>
      </c>
      <c r="J11" s="8">
        <f>SUM(J5:J10)</f>
        <v>3574.42</v>
      </c>
      <c r="K11" s="8">
        <f>SUM(K5:K10)</f>
        <v>3214.33</v>
      </c>
      <c r="L11" s="8">
        <f t="shared" si="2"/>
        <v>360.09000000000015</v>
      </c>
      <c r="M11" s="54">
        <f t="shared" si="3"/>
        <v>0.11202645652437682</v>
      </c>
      <c r="N11" s="54"/>
      <c r="P11" s="6" t="s">
        <v>108</v>
      </c>
      <c r="Q11" s="7">
        <v>44.98</v>
      </c>
      <c r="R11" s="7">
        <v>-31.64</v>
      </c>
      <c r="S11" s="8">
        <f t="shared" si="0"/>
        <v>76.62</v>
      </c>
      <c r="T11" s="54">
        <f t="shared" si="1"/>
        <v>2.4216182048040458</v>
      </c>
      <c r="U11" s="54"/>
      <c r="W11" s="55" t="s">
        <v>148</v>
      </c>
      <c r="X11" s="55"/>
      <c r="Y11" s="55"/>
      <c r="Z11" s="55"/>
    </row>
    <row r="12" spans="2:26" ht="15" customHeight="1" x14ac:dyDescent="0.25">
      <c r="B12" s="2" t="s">
        <v>46</v>
      </c>
      <c r="C12" s="3">
        <v>259.68</v>
      </c>
      <c r="D12" s="3">
        <v>455.54</v>
      </c>
      <c r="E12" s="4">
        <f t="shared" si="4"/>
        <v>-195.86</v>
      </c>
      <c r="F12" s="53">
        <f t="shared" si="5"/>
        <v>-0.4299512666286166</v>
      </c>
      <c r="G12" s="53"/>
      <c r="P12" s="2" t="s">
        <v>109</v>
      </c>
      <c r="Q12" s="3">
        <v>33.549999999999997</v>
      </c>
      <c r="R12" s="3">
        <v>-15.04</v>
      </c>
      <c r="S12" s="4">
        <f t="shared" si="0"/>
        <v>48.589999999999996</v>
      </c>
      <c r="T12" s="53">
        <f t="shared" si="1"/>
        <v>3.2307180851063828</v>
      </c>
      <c r="U12" s="53"/>
      <c r="W12" s="2" t="s">
        <v>58</v>
      </c>
      <c r="X12" s="30">
        <f>(C6-C9)/C6</f>
        <v>0.25580787879777317</v>
      </c>
      <c r="Y12" s="30">
        <f>(D6-D9)/D6</f>
        <v>0.32467290255939396</v>
      </c>
      <c r="Z12" s="14" t="s">
        <v>149</v>
      </c>
    </row>
    <row r="13" spans="2:26" ht="15" customHeight="1" x14ac:dyDescent="0.25">
      <c r="B13" s="6" t="s">
        <v>47</v>
      </c>
      <c r="C13" s="7">
        <v>104.71</v>
      </c>
      <c r="D13" s="7">
        <v>111.19</v>
      </c>
      <c r="E13" s="8">
        <f t="shared" si="4"/>
        <v>-6.480000000000004</v>
      </c>
      <c r="F13" s="54">
        <f t="shared" si="5"/>
        <v>-5.8278622178253477E-2</v>
      </c>
      <c r="G13" s="54"/>
      <c r="I13" s="58" t="s">
        <v>71</v>
      </c>
      <c r="J13" s="58"/>
      <c r="K13" s="58"/>
      <c r="L13" s="58"/>
      <c r="M13" s="58"/>
      <c r="N13" s="58"/>
      <c r="P13" s="6" t="s">
        <v>110</v>
      </c>
      <c r="Q13" s="7">
        <v>-100.18</v>
      </c>
      <c r="R13" s="7">
        <v>55.8</v>
      </c>
      <c r="S13" s="8">
        <f t="shared" si="0"/>
        <v>-155.98000000000002</v>
      </c>
      <c r="T13" s="54">
        <f t="shared" si="1"/>
        <v>-2.7953405017921154</v>
      </c>
      <c r="U13" s="54"/>
      <c r="W13" s="6" t="s">
        <v>59</v>
      </c>
      <c r="X13" s="31">
        <f>(C16+C12+C11)/C6</f>
        <v>2.5141625716291308E-2</v>
      </c>
      <c r="Y13" s="31">
        <f>(D16+D12+D11)/D6</f>
        <v>0.13264661999311361</v>
      </c>
      <c r="Z13" s="15" t="s">
        <v>150</v>
      </c>
    </row>
    <row r="14" spans="2:26" ht="15" customHeight="1" x14ac:dyDescent="0.25">
      <c r="B14" s="10" t="s">
        <v>48</v>
      </c>
      <c r="C14" s="4">
        <f>SUM(C9:C13)</f>
        <v>869.93000000000006</v>
      </c>
      <c r="D14" s="4">
        <f>SUM(D9:D13)</f>
        <v>1066.9100000000001</v>
      </c>
      <c r="E14" s="4">
        <f t="shared" si="4"/>
        <v>-196.98000000000002</v>
      </c>
      <c r="F14" s="53">
        <f t="shared" si="5"/>
        <v>-0.1846266320495637</v>
      </c>
      <c r="G14" s="53"/>
      <c r="I14" s="2" t="s">
        <v>72</v>
      </c>
      <c r="J14" s="3">
        <v>0.02</v>
      </c>
      <c r="K14" s="3">
        <v>0.02</v>
      </c>
      <c r="L14" s="4">
        <f t="shared" ref="L14:L22" si="6">J14-K14</f>
        <v>0</v>
      </c>
      <c r="M14" s="53">
        <f t="shared" ref="M14:M22" si="7">(J14-K14)/ABS(K14)</f>
        <v>0</v>
      </c>
      <c r="N14" s="53"/>
      <c r="P14" s="2" t="s">
        <v>111</v>
      </c>
      <c r="Q14" s="3">
        <v>89.53</v>
      </c>
      <c r="R14" s="3">
        <v>-0.01</v>
      </c>
      <c r="S14" s="4">
        <f t="shared" si="0"/>
        <v>89.54</v>
      </c>
      <c r="T14" s="53">
        <f t="shared" si="1"/>
        <v>8954</v>
      </c>
      <c r="U14" s="53"/>
      <c r="W14" s="2" t="s">
        <v>60</v>
      </c>
      <c r="X14" s="30">
        <f>C18/C6</f>
        <v>-0.42022431554372863</v>
      </c>
      <c r="Y14" s="30">
        <f>D18/D6</f>
        <v>-0.53062951910937695</v>
      </c>
      <c r="Z14" s="14" t="s">
        <v>151</v>
      </c>
    </row>
    <row r="15" spans="2:26" x14ac:dyDescent="0.25">
      <c r="I15" s="6" t="s">
        <v>73</v>
      </c>
      <c r="J15" s="7">
        <v>270.56</v>
      </c>
      <c r="K15" s="7">
        <v>315.54000000000002</v>
      </c>
      <c r="L15" s="8">
        <f t="shared" si="6"/>
        <v>-44.980000000000018</v>
      </c>
      <c r="M15" s="54">
        <f t="shared" si="7"/>
        <v>-0.14254928059833941</v>
      </c>
      <c r="N15" s="54"/>
      <c r="P15" s="6" t="s">
        <v>112</v>
      </c>
      <c r="Q15" s="7">
        <v>-9.7100000000000009</v>
      </c>
      <c r="R15" s="7">
        <v>7.72</v>
      </c>
      <c r="S15" s="8">
        <f t="shared" si="0"/>
        <v>-17.43</v>
      </c>
      <c r="T15" s="54">
        <f t="shared" si="1"/>
        <v>-2.2577720207253886</v>
      </c>
      <c r="U15" s="54"/>
      <c r="W15" s="6" t="s">
        <v>152</v>
      </c>
      <c r="X15" s="31">
        <f>C18/J28</f>
        <v>-6.6127507398881971E-2</v>
      </c>
      <c r="Y15" s="31">
        <f>D18/K28</f>
        <v>-0.11110810713384518</v>
      </c>
      <c r="Z15" s="15" t="s">
        <v>153</v>
      </c>
    </row>
    <row r="16" spans="2:26" ht="15" customHeight="1" x14ac:dyDescent="0.25">
      <c r="B16" s="10" t="s">
        <v>49</v>
      </c>
      <c r="C16" s="4">
        <f>C6-C14</f>
        <v>-257.40000000000009</v>
      </c>
      <c r="D16" s="4">
        <f>D6-D14</f>
        <v>-369.87000000000012</v>
      </c>
      <c r="E16" s="4">
        <f>C16-D16</f>
        <v>112.47000000000003</v>
      </c>
      <c r="F16" s="53">
        <f>(C16-D16)/ABS(D16)</f>
        <v>0.30407981182577659</v>
      </c>
      <c r="G16" s="53"/>
      <c r="I16" s="2" t="s">
        <v>74</v>
      </c>
      <c r="J16" s="3">
        <v>385.78</v>
      </c>
      <c r="K16" s="3">
        <v>141.22</v>
      </c>
      <c r="L16" s="4">
        <f t="shared" si="6"/>
        <v>244.55999999999997</v>
      </c>
      <c r="M16" s="53">
        <f t="shared" si="7"/>
        <v>1.7317660388047018</v>
      </c>
      <c r="N16" s="53"/>
      <c r="P16" s="2" t="s">
        <v>113</v>
      </c>
      <c r="Q16" s="3">
        <v>7.0000000000000007E-2</v>
      </c>
      <c r="R16" s="3">
        <v>0.57999999999999996</v>
      </c>
      <c r="S16" s="4">
        <f t="shared" si="0"/>
        <v>-0.51</v>
      </c>
      <c r="T16" s="53">
        <f t="shared" si="1"/>
        <v>-0.8793103448275863</v>
      </c>
      <c r="U16" s="53"/>
      <c r="W16" s="2" t="s">
        <v>154</v>
      </c>
      <c r="X16" s="30">
        <f>(C16+C11)/(J28+J33)</f>
        <v>-6.0419284308002842E-2</v>
      </c>
      <c r="Y16" s="30">
        <f>(D16+D11)/(K28+K33)</f>
        <v>-0.10658666110855056</v>
      </c>
      <c r="Z16" s="14" t="s">
        <v>155</v>
      </c>
    </row>
    <row r="17" spans="2:26" ht="15" customHeight="1" x14ac:dyDescent="0.25">
      <c r="B17" s="6" t="s">
        <v>50</v>
      </c>
      <c r="C17" s="7">
        <v>0</v>
      </c>
      <c r="D17" s="7">
        <v>0</v>
      </c>
      <c r="E17" s="8">
        <f>C17-D17</f>
        <v>0</v>
      </c>
      <c r="F17" s="11" t="s">
        <v>51</v>
      </c>
      <c r="I17" s="6" t="s">
        <v>75</v>
      </c>
      <c r="J17" s="7">
        <v>5.69</v>
      </c>
      <c r="K17" s="7">
        <v>5.44</v>
      </c>
      <c r="L17" s="8">
        <f t="shared" si="6"/>
        <v>0.25</v>
      </c>
      <c r="M17" s="54">
        <f t="shared" si="7"/>
        <v>4.5955882352941173E-2</v>
      </c>
      <c r="N17" s="54"/>
      <c r="P17" s="12" t="s">
        <v>114</v>
      </c>
      <c r="Q17" s="8">
        <f>SUM(Q10:Q16)</f>
        <v>32.930000000000021</v>
      </c>
      <c r="R17" s="8">
        <f>SUM(R10:R16)</f>
        <v>97.65</v>
      </c>
      <c r="S17" s="8">
        <f t="shared" si="0"/>
        <v>-64.719999999999985</v>
      </c>
      <c r="T17" s="54">
        <f t="shared" si="1"/>
        <v>-0.6627752176139271</v>
      </c>
      <c r="U17" s="54"/>
      <c r="W17" s="6" t="s">
        <v>156</v>
      </c>
      <c r="X17" s="29">
        <f>C18/J22</f>
        <v>-5.9393192626383616E-2</v>
      </c>
      <c r="Y17" s="29">
        <f>D18/K22</f>
        <v>-9.6952269611556618E-2</v>
      </c>
      <c r="Z17" s="15" t="s">
        <v>157</v>
      </c>
    </row>
    <row r="18" spans="2:26" ht="15" customHeight="1" x14ac:dyDescent="0.25">
      <c r="B18" s="10" t="s">
        <v>52</v>
      </c>
      <c r="C18" s="4">
        <f>C16-C17</f>
        <v>-257.40000000000009</v>
      </c>
      <c r="D18" s="4">
        <f>D16-D17</f>
        <v>-369.87000000000012</v>
      </c>
      <c r="E18" s="4">
        <f>C18-D18</f>
        <v>112.47000000000003</v>
      </c>
      <c r="F18" s="53">
        <f>(C18-D18)/ABS(D18)</f>
        <v>0.30407981182577659</v>
      </c>
      <c r="G18" s="53"/>
      <c r="I18" s="2" t="s">
        <v>76</v>
      </c>
      <c r="J18" s="3">
        <v>7</v>
      </c>
      <c r="K18" s="3">
        <v>6.3</v>
      </c>
      <c r="L18" s="4">
        <f t="shared" si="6"/>
        <v>0.70000000000000018</v>
      </c>
      <c r="M18" s="53">
        <f t="shared" si="7"/>
        <v>0.11111111111111115</v>
      </c>
      <c r="N18" s="53"/>
      <c r="P18" s="2" t="s">
        <v>115</v>
      </c>
      <c r="Q18" s="3">
        <v>8.2100000000000009</v>
      </c>
      <c r="R18" s="3">
        <v>-3.03</v>
      </c>
      <c r="S18" s="4">
        <f t="shared" si="0"/>
        <v>11.24</v>
      </c>
      <c r="T18" s="53">
        <f t="shared" si="1"/>
        <v>3.7095709570957101</v>
      </c>
      <c r="U18" s="53"/>
      <c r="W18" s="55" t="s">
        <v>158</v>
      </c>
      <c r="X18" s="55"/>
      <c r="Y18" s="55"/>
      <c r="Z18" s="55"/>
    </row>
    <row r="19" spans="2:26" x14ac:dyDescent="0.25">
      <c r="I19" s="6" t="s">
        <v>77</v>
      </c>
      <c r="J19" s="7">
        <v>17.61</v>
      </c>
      <c r="K19" s="7">
        <v>25.82</v>
      </c>
      <c r="L19" s="8">
        <f t="shared" si="6"/>
        <v>-8.2100000000000009</v>
      </c>
      <c r="M19" s="54">
        <f t="shared" si="7"/>
        <v>-0.31797056545313712</v>
      </c>
      <c r="N19" s="54"/>
      <c r="P19" s="12" t="s">
        <v>116</v>
      </c>
      <c r="Q19" s="8">
        <f>Q17+Q18</f>
        <v>41.140000000000022</v>
      </c>
      <c r="R19" s="8">
        <f>R17+R18</f>
        <v>94.62</v>
      </c>
      <c r="S19" s="8">
        <f t="shared" si="0"/>
        <v>-53.479999999999983</v>
      </c>
      <c r="T19" s="54">
        <f t="shared" si="1"/>
        <v>-0.56520820122595627</v>
      </c>
      <c r="U19" s="54"/>
      <c r="W19" s="6" t="s">
        <v>159</v>
      </c>
      <c r="X19" s="28">
        <f>C4/((K15+J15)/2)</f>
        <v>1.9378604333731444</v>
      </c>
      <c r="Y19" s="28">
        <f>D4/((L15+K15)/2)</f>
        <v>5.0683027794204607</v>
      </c>
      <c r="Z19" s="15" t="s">
        <v>160</v>
      </c>
    </row>
    <row r="20" spans="2:26" ht="15" customHeight="1" x14ac:dyDescent="0.25">
      <c r="B20" s="2" t="s">
        <v>53</v>
      </c>
      <c r="C20" s="3">
        <v>-0.04</v>
      </c>
      <c r="D20" s="3">
        <v>-0.05</v>
      </c>
      <c r="E20" s="4">
        <f>C20-D20</f>
        <v>1.0000000000000002E-2</v>
      </c>
      <c r="F20" s="53">
        <f>(C20-D20)/ABS(D20)</f>
        <v>0.20000000000000004</v>
      </c>
      <c r="G20" s="53"/>
      <c r="I20" s="2" t="s">
        <v>78</v>
      </c>
      <c r="J20" s="3">
        <v>72.75</v>
      </c>
      <c r="K20" s="3">
        <v>106.3</v>
      </c>
      <c r="L20" s="4">
        <f t="shared" si="6"/>
        <v>-33.549999999999997</v>
      </c>
      <c r="M20" s="53">
        <f t="shared" si="7"/>
        <v>-0.31561618062088426</v>
      </c>
      <c r="N20" s="53"/>
      <c r="W20" s="2" t="s">
        <v>161</v>
      </c>
      <c r="X20" s="33">
        <f>365/X19</f>
        <v>188.352057616792</v>
      </c>
      <c r="Y20" s="33">
        <f>365/Y19</f>
        <v>72.016218423662565</v>
      </c>
      <c r="Z20" s="14" t="s">
        <v>162</v>
      </c>
    </row>
    <row r="21" spans="2:26" ht="15" customHeight="1" x14ac:dyDescent="0.25">
      <c r="B21" s="12" t="s">
        <v>54</v>
      </c>
      <c r="C21" s="8">
        <f>C18+C20</f>
        <v>-257.44000000000011</v>
      </c>
      <c r="D21" s="8">
        <f>D18+D20</f>
        <v>-369.92000000000013</v>
      </c>
      <c r="E21" s="8">
        <f>C21-D21</f>
        <v>112.48000000000002</v>
      </c>
      <c r="F21" s="54">
        <f>(C21-D21)/ABS(D21)</f>
        <v>0.30406574394463665</v>
      </c>
      <c r="G21" s="54"/>
      <c r="I21" s="12" t="s">
        <v>79</v>
      </c>
      <c r="J21" s="8">
        <f>SUM(J14:J20)</f>
        <v>759.41</v>
      </c>
      <c r="K21" s="8">
        <f>SUM(K14:K20)</f>
        <v>600.64</v>
      </c>
      <c r="L21" s="8">
        <f t="shared" si="6"/>
        <v>158.76999999999998</v>
      </c>
      <c r="M21" s="54">
        <f t="shared" si="7"/>
        <v>0.26433470964304739</v>
      </c>
      <c r="N21" s="54"/>
      <c r="P21" s="55" t="s">
        <v>117</v>
      </c>
      <c r="Q21" s="55"/>
      <c r="R21" s="55"/>
      <c r="S21" s="55"/>
      <c r="T21" s="55"/>
      <c r="U21" s="55"/>
      <c r="W21" s="6" t="s">
        <v>163</v>
      </c>
      <c r="X21" s="28">
        <f>C4/(J21-J41)</f>
        <v>1.2120416613309428</v>
      </c>
      <c r="Y21" s="28">
        <f>D4/(K21-K41)</f>
        <v>3.5714136889259303</v>
      </c>
      <c r="Z21" s="15" t="s">
        <v>164</v>
      </c>
    </row>
    <row r="22" spans="2:26" x14ac:dyDescent="0.25">
      <c r="I22" s="10" t="s">
        <v>80</v>
      </c>
      <c r="J22" s="4">
        <f>J11+J21</f>
        <v>4333.83</v>
      </c>
      <c r="K22" s="4">
        <f>K11+K21</f>
        <v>3814.97</v>
      </c>
      <c r="L22" s="4">
        <f t="shared" si="6"/>
        <v>518.86000000000013</v>
      </c>
      <c r="M22" s="53">
        <f t="shared" si="7"/>
        <v>0.136006311976241</v>
      </c>
      <c r="N22" s="53"/>
      <c r="P22" s="2" t="s">
        <v>118</v>
      </c>
      <c r="Q22" s="3">
        <v>-313.61</v>
      </c>
      <c r="R22" s="3">
        <v>-98.83</v>
      </c>
      <c r="S22" s="4">
        <f t="shared" ref="S22:S27" si="8">Q22-R22</f>
        <v>-214.78000000000003</v>
      </c>
      <c r="T22" s="53">
        <f t="shared" ref="T22:T27" si="9">(Q22-R22)/ABS(R22)</f>
        <v>-2.1732267530102201</v>
      </c>
      <c r="U22" s="53"/>
      <c r="W22" s="2" t="s">
        <v>165</v>
      </c>
      <c r="X22" s="27">
        <f>C4/J22</f>
        <v>0.13103651966043892</v>
      </c>
      <c r="Y22" s="27">
        <f>D4/K22</f>
        <v>0.17972356270167264</v>
      </c>
      <c r="Z22" s="14" t="s">
        <v>166</v>
      </c>
    </row>
    <row r="23" spans="2:26" ht="15" customHeight="1" x14ac:dyDescent="0.25">
      <c r="B23" s="55" t="s">
        <v>55</v>
      </c>
      <c r="C23" s="55"/>
      <c r="D23" s="55"/>
      <c r="E23" s="55"/>
      <c r="F23" s="55"/>
      <c r="G23" s="55"/>
      <c r="P23" s="6" t="s">
        <v>119</v>
      </c>
      <c r="Q23" s="7">
        <v>-306.64999999999998</v>
      </c>
      <c r="R23" s="7">
        <v>-444.55</v>
      </c>
      <c r="S23" s="8">
        <f t="shared" si="8"/>
        <v>137.90000000000003</v>
      </c>
      <c r="T23" s="54">
        <f t="shared" si="9"/>
        <v>0.31020132718479371</v>
      </c>
      <c r="U23" s="54"/>
      <c r="W23" s="55" t="s">
        <v>167</v>
      </c>
      <c r="X23" s="55"/>
      <c r="Y23" s="55"/>
      <c r="Z23" s="55"/>
    </row>
    <row r="24" spans="2:26" ht="15" customHeight="1" x14ac:dyDescent="0.25">
      <c r="B24" s="1" t="s">
        <v>56</v>
      </c>
      <c r="C24" s="1" t="s">
        <v>34</v>
      </c>
      <c r="D24" s="1" t="s">
        <v>35</v>
      </c>
      <c r="E24" s="1" t="s">
        <v>57</v>
      </c>
      <c r="F24" s="56"/>
      <c r="G24" s="56"/>
      <c r="I24" s="55" t="s">
        <v>81</v>
      </c>
      <c r="J24" s="55"/>
      <c r="K24" s="55"/>
      <c r="L24" s="55"/>
      <c r="M24" s="55"/>
      <c r="N24" s="55"/>
      <c r="P24" s="2" t="s">
        <v>120</v>
      </c>
      <c r="Q24" s="3">
        <v>0.97</v>
      </c>
      <c r="R24" s="3">
        <v>6.24</v>
      </c>
      <c r="S24" s="4">
        <f t="shared" si="8"/>
        <v>-5.2700000000000005</v>
      </c>
      <c r="T24" s="53">
        <f t="shared" si="9"/>
        <v>-0.84455128205128205</v>
      </c>
      <c r="U24" s="53"/>
      <c r="W24" s="2" t="s">
        <v>168</v>
      </c>
      <c r="X24" s="26">
        <v>19017.05</v>
      </c>
      <c r="Y24" s="26">
        <v>18759.61</v>
      </c>
      <c r="Z24" s="14" t="s">
        <v>169</v>
      </c>
    </row>
    <row r="25" spans="2:26" ht="15" customHeight="1" x14ac:dyDescent="0.25">
      <c r="B25" s="6" t="s">
        <v>58</v>
      </c>
      <c r="C25" s="9">
        <f>(C6-C9)/C6</f>
        <v>0.25580787879777317</v>
      </c>
      <c r="D25" s="9">
        <f>(D6-D9)/D6</f>
        <v>0.32467290255939396</v>
      </c>
      <c r="E25" s="9">
        <f>C25-D25</f>
        <v>-6.8865023761620792E-2</v>
      </c>
      <c r="F25" s="52"/>
      <c r="G25" s="52"/>
      <c r="I25" s="58" t="s">
        <v>82</v>
      </c>
      <c r="J25" s="58"/>
      <c r="K25" s="58"/>
      <c r="L25" s="58"/>
      <c r="M25" s="58"/>
      <c r="N25" s="58"/>
      <c r="P25" s="6" t="s">
        <v>121</v>
      </c>
      <c r="Q25" s="7">
        <v>0.12</v>
      </c>
      <c r="R25" s="7">
        <v>0.12</v>
      </c>
      <c r="S25" s="8">
        <f t="shared" si="8"/>
        <v>0</v>
      </c>
      <c r="T25" s="54">
        <f t="shared" si="9"/>
        <v>0</v>
      </c>
      <c r="U25" s="54"/>
      <c r="W25" s="6" t="s">
        <v>170</v>
      </c>
      <c r="X25" s="25">
        <f>J28</f>
        <v>3892.4799999999996</v>
      </c>
      <c r="Y25" s="25">
        <f>K28</f>
        <v>3328.9200000000019</v>
      </c>
      <c r="Z25" s="15" t="s">
        <v>171</v>
      </c>
    </row>
    <row r="26" spans="2:26" ht="15" customHeight="1" x14ac:dyDescent="0.25">
      <c r="B26" s="2" t="s">
        <v>59</v>
      </c>
      <c r="C26" s="5">
        <f>(C16+C12+C11)/C6</f>
        <v>2.5141625716291308E-2</v>
      </c>
      <c r="D26" s="5">
        <f>(D16+D12+D11)/D6</f>
        <v>0.13264661999311361</v>
      </c>
      <c r="E26" s="5">
        <f>C26-D26</f>
        <v>-0.10750499427682231</v>
      </c>
      <c r="F26" s="52"/>
      <c r="G26" s="52"/>
      <c r="I26" s="2" t="s">
        <v>83</v>
      </c>
      <c r="J26" s="3">
        <v>22868.2</v>
      </c>
      <c r="K26" s="3">
        <v>22047.200000000001</v>
      </c>
      <c r="L26" s="4">
        <f>J26-K26</f>
        <v>821</v>
      </c>
      <c r="M26" s="53">
        <f>(J26-K26)/ABS(K26)</f>
        <v>3.7238288762291807E-2</v>
      </c>
      <c r="N26" s="53"/>
      <c r="P26" s="2" t="s">
        <v>122</v>
      </c>
      <c r="Q26" s="3">
        <v>11.19</v>
      </c>
      <c r="R26" s="3">
        <v>7.06</v>
      </c>
      <c r="S26" s="4">
        <f t="shared" si="8"/>
        <v>4.13</v>
      </c>
      <c r="T26" s="53">
        <f t="shared" si="9"/>
        <v>0.58498583569405105</v>
      </c>
      <c r="U26" s="53"/>
      <c r="W26" s="2" t="s">
        <v>172</v>
      </c>
      <c r="X26" s="26">
        <v>821</v>
      </c>
      <c r="Y26" s="26">
        <v>546</v>
      </c>
      <c r="Z26" s="14" t="s">
        <v>173</v>
      </c>
    </row>
    <row r="27" spans="2:26" ht="15" customHeight="1" x14ac:dyDescent="0.25">
      <c r="B27" s="6" t="s">
        <v>60</v>
      </c>
      <c r="C27" s="9">
        <f>C18/C6</f>
        <v>-0.42022431554372863</v>
      </c>
      <c r="D27" s="9">
        <f>D18/D6</f>
        <v>-0.53062951910937695</v>
      </c>
      <c r="E27" s="9">
        <f>C27-D27</f>
        <v>0.11040520356564831</v>
      </c>
      <c r="F27" s="52"/>
      <c r="G27" s="52"/>
      <c r="I27" s="6" t="s">
        <v>84</v>
      </c>
      <c r="J27" s="7">
        <v>-18975.72</v>
      </c>
      <c r="K27" s="7">
        <v>-18718.28</v>
      </c>
      <c r="L27" s="8">
        <f>J27-K27</f>
        <v>-257.44000000000233</v>
      </c>
      <c r="M27" s="54">
        <f>(J27-K27)/ABS(K27)</f>
        <v>-1.3753400419269417E-2</v>
      </c>
      <c r="N27" s="54"/>
      <c r="P27" s="12" t="s">
        <v>123</v>
      </c>
      <c r="Q27" s="8">
        <f>Q22+Q23+Q24+Q25+Q26</f>
        <v>-607.9799999999999</v>
      </c>
      <c r="R27" s="8">
        <f>R22+R23+R24+R25+R26</f>
        <v>-529.96</v>
      </c>
      <c r="S27" s="8">
        <f t="shared" si="8"/>
        <v>-78.019999999999868</v>
      </c>
      <c r="T27" s="54">
        <f t="shared" si="9"/>
        <v>-0.14721865801192516</v>
      </c>
      <c r="U27" s="54"/>
      <c r="W27" s="6" t="s">
        <v>174</v>
      </c>
      <c r="X27" s="25">
        <v>2.2799999999999998</v>
      </c>
      <c r="Y27" s="25">
        <v>82.99</v>
      </c>
      <c r="Z27" s="15" t="s">
        <v>175</v>
      </c>
    </row>
    <row r="28" spans="2:26" x14ac:dyDescent="0.25">
      <c r="I28" s="10" t="s">
        <v>85</v>
      </c>
      <c r="J28" s="4">
        <f>SUM(J26,J27)</f>
        <v>3892.4799999999996</v>
      </c>
      <c r="K28" s="4">
        <f>SUM(K26,K27)</f>
        <v>3328.9200000000019</v>
      </c>
      <c r="L28" s="4">
        <f>J28-K28</f>
        <v>563.55999999999767</v>
      </c>
      <c r="M28" s="53">
        <f>(J28-K28)/ABS(K28)</f>
        <v>0.16929214279706251</v>
      </c>
      <c r="N28" s="53"/>
    </row>
    <row r="29" spans="2:26" ht="21.75" customHeight="1" x14ac:dyDescent="0.25">
      <c r="B29" s="13"/>
      <c r="P29" s="55" t="s">
        <v>124</v>
      </c>
      <c r="Q29" s="55"/>
      <c r="R29" s="55"/>
      <c r="S29" s="55"/>
      <c r="T29" s="55"/>
      <c r="U29" s="55"/>
    </row>
    <row r="30" spans="2:26" x14ac:dyDescent="0.25">
      <c r="I30" s="58" t="s">
        <v>86</v>
      </c>
      <c r="J30" s="58"/>
      <c r="K30" s="58"/>
      <c r="L30" s="58"/>
      <c r="M30" s="58"/>
      <c r="N30" s="58"/>
      <c r="P30" s="2" t="s">
        <v>125</v>
      </c>
      <c r="Q30" s="3">
        <v>-11.95</v>
      </c>
      <c r="R30" s="3">
        <v>-12.3</v>
      </c>
      <c r="S30" s="4">
        <f>Q30-R30</f>
        <v>0.35000000000000142</v>
      </c>
      <c r="T30" s="53">
        <f>(Q30-R30)/ABS(R30)</f>
        <v>2.8455284552845642E-2</v>
      </c>
      <c r="U30" s="53"/>
    </row>
    <row r="31" spans="2:26" x14ac:dyDescent="0.25">
      <c r="I31" s="6" t="s">
        <v>87</v>
      </c>
      <c r="J31" s="7">
        <v>134.61000000000001</v>
      </c>
      <c r="K31" s="7">
        <v>63.55</v>
      </c>
      <c r="L31" s="8">
        <f>J31-K31</f>
        <v>71.060000000000016</v>
      </c>
      <c r="M31" s="54">
        <f>(J31-K31)/ABS(K31)</f>
        <v>1.1181746656176241</v>
      </c>
      <c r="N31" s="54"/>
      <c r="P31" s="6" t="s">
        <v>126</v>
      </c>
      <c r="Q31" s="7">
        <v>821</v>
      </c>
      <c r="R31" s="7">
        <v>546</v>
      </c>
      <c r="S31" s="8">
        <f>Q31-R31</f>
        <v>275</v>
      </c>
      <c r="T31" s="54">
        <f>(Q31-R31)/ABS(R31)</f>
        <v>0.50366300366300365</v>
      </c>
      <c r="U31" s="54"/>
    </row>
    <row r="32" spans="2:26" x14ac:dyDescent="0.25">
      <c r="I32" s="2" t="s">
        <v>88</v>
      </c>
      <c r="J32" s="3">
        <v>15.99</v>
      </c>
      <c r="K32" s="3">
        <v>13.96</v>
      </c>
      <c r="L32" s="4">
        <f>J32-K32</f>
        <v>2.0299999999999994</v>
      </c>
      <c r="M32" s="53">
        <f>(J32-K32)/ABS(K32)</f>
        <v>0.14541547277936956</v>
      </c>
      <c r="N32" s="53"/>
      <c r="P32" s="10" t="s">
        <v>127</v>
      </c>
      <c r="Q32" s="4">
        <f>Q30+Q31</f>
        <v>809.05</v>
      </c>
      <c r="R32" s="4">
        <f>R30+R31</f>
        <v>533.70000000000005</v>
      </c>
      <c r="S32" s="4">
        <f>Q32-R32</f>
        <v>275.34999999999991</v>
      </c>
      <c r="T32" s="53">
        <f>(Q32-R32)/ABS(R32)</f>
        <v>0.51592655049653346</v>
      </c>
      <c r="U32" s="53"/>
    </row>
    <row r="33" spans="9:21" x14ac:dyDescent="0.25">
      <c r="I33" s="12" t="s">
        <v>89</v>
      </c>
      <c r="J33" s="8">
        <f>SUM(J31,J32)</f>
        <v>150.60000000000002</v>
      </c>
      <c r="K33" s="8">
        <f>SUM(K31,K32)</f>
        <v>77.509999999999991</v>
      </c>
      <c r="L33" s="8">
        <f>J33-K33</f>
        <v>73.090000000000032</v>
      </c>
      <c r="M33" s="54">
        <f>(J33-K33)/ABS(K33)</f>
        <v>0.94297509998709894</v>
      </c>
      <c r="N33" s="54"/>
    </row>
    <row r="34" spans="9:21" x14ac:dyDescent="0.25">
      <c r="P34" s="10" t="s">
        <v>128</v>
      </c>
      <c r="Q34" s="4">
        <f>Q19+Q27+Q32</f>
        <v>242.21000000000004</v>
      </c>
      <c r="R34" s="4">
        <f>R19+R27+R32</f>
        <v>98.360000000000014</v>
      </c>
      <c r="S34" s="4">
        <f>Q34-R34</f>
        <v>143.85000000000002</v>
      </c>
      <c r="T34" s="53">
        <f>(Q34-R34)/ABS(R34)</f>
        <v>1.4624847498983327</v>
      </c>
      <c r="U34" s="53"/>
    </row>
    <row r="35" spans="9:21" x14ac:dyDescent="0.25">
      <c r="I35" s="58" t="s">
        <v>90</v>
      </c>
      <c r="J35" s="58"/>
      <c r="K35" s="58"/>
      <c r="L35" s="58"/>
      <c r="M35" s="58"/>
      <c r="N35" s="58"/>
      <c r="P35" s="6" t="s">
        <v>129</v>
      </c>
      <c r="Q35" s="7">
        <v>146.66</v>
      </c>
      <c r="R35" s="7">
        <v>44.28</v>
      </c>
      <c r="S35" s="8">
        <f>Q35-R35</f>
        <v>102.38</v>
      </c>
      <c r="T35" s="54">
        <f>(Q35-R35)/ABS(R35)</f>
        <v>2.3121047877145435</v>
      </c>
      <c r="U35" s="54"/>
    </row>
    <row r="36" spans="9:21" x14ac:dyDescent="0.25">
      <c r="I36" s="2" t="s">
        <v>91</v>
      </c>
      <c r="J36" s="3">
        <v>28.35</v>
      </c>
      <c r="K36" s="3">
        <v>8.7100000000000009</v>
      </c>
      <c r="L36" s="4">
        <f t="shared" ref="L36:L43" si="10">J36-K36</f>
        <v>19.64</v>
      </c>
      <c r="M36" s="53">
        <f t="shared" ref="M36:M43" si="11">(J36-K36)/ABS(K36)</f>
        <v>2.2548794489092994</v>
      </c>
      <c r="N36" s="53"/>
      <c r="P36" s="10" t="s">
        <v>130</v>
      </c>
      <c r="Q36" s="4">
        <f>Q34+Q35</f>
        <v>388.87</v>
      </c>
      <c r="R36" s="4">
        <f>R34+R35</f>
        <v>142.64000000000001</v>
      </c>
      <c r="S36" s="4">
        <f>Q36-R36</f>
        <v>246.23</v>
      </c>
      <c r="T36" s="53">
        <f>(Q36-R36)/ABS(R36)</f>
        <v>1.7262338754907456</v>
      </c>
      <c r="U36" s="53"/>
    </row>
    <row r="37" spans="9:21" x14ac:dyDescent="0.25">
      <c r="I37" s="6" t="s">
        <v>92</v>
      </c>
      <c r="J37" s="7">
        <v>0.05</v>
      </c>
      <c r="K37" s="7">
        <v>0.05</v>
      </c>
      <c r="L37" s="8">
        <f t="shared" si="10"/>
        <v>0</v>
      </c>
      <c r="M37" s="54">
        <f t="shared" si="11"/>
        <v>0</v>
      </c>
      <c r="N37" s="54"/>
    </row>
    <row r="38" spans="9:21" x14ac:dyDescent="0.25">
      <c r="I38" s="2" t="s">
        <v>93</v>
      </c>
      <c r="J38" s="3">
        <v>253.18</v>
      </c>
      <c r="K38" s="3">
        <v>380.97</v>
      </c>
      <c r="L38" s="4">
        <f t="shared" si="10"/>
        <v>-127.79000000000002</v>
      </c>
      <c r="M38" s="53">
        <f t="shared" si="11"/>
        <v>-0.33543323621282517</v>
      </c>
      <c r="N38" s="53"/>
    </row>
    <row r="39" spans="9:21" x14ac:dyDescent="0.25">
      <c r="I39" s="6" t="s">
        <v>94</v>
      </c>
      <c r="J39" s="7">
        <v>7.2</v>
      </c>
      <c r="K39" s="7">
        <v>16.91</v>
      </c>
      <c r="L39" s="8">
        <f t="shared" si="10"/>
        <v>-9.7100000000000009</v>
      </c>
      <c r="M39" s="54">
        <f t="shared" si="11"/>
        <v>-0.57421643997634542</v>
      </c>
      <c r="N39" s="54"/>
    </row>
    <row r="40" spans="9:21" x14ac:dyDescent="0.25">
      <c r="I40" s="2" t="s">
        <v>95</v>
      </c>
      <c r="J40" s="3">
        <v>2.09</v>
      </c>
      <c r="K40" s="3">
        <v>2.02</v>
      </c>
      <c r="L40" s="4">
        <f t="shared" si="10"/>
        <v>6.999999999999984E-2</v>
      </c>
      <c r="M40" s="53">
        <f t="shared" si="11"/>
        <v>3.4653465346534573E-2</v>
      </c>
      <c r="N40" s="53"/>
    </row>
    <row r="41" spans="9:21" x14ac:dyDescent="0.25">
      <c r="I41" s="12" t="s">
        <v>96</v>
      </c>
      <c r="J41" s="8">
        <f>SUM(J36:J40)</f>
        <v>290.86999999999995</v>
      </c>
      <c r="K41" s="8">
        <f>SUM(K36:K40)</f>
        <v>408.66</v>
      </c>
      <c r="L41" s="8">
        <f t="shared" si="10"/>
        <v>-117.79000000000008</v>
      </c>
      <c r="M41" s="54">
        <f t="shared" si="11"/>
        <v>-0.28823471834777092</v>
      </c>
      <c r="N41" s="54"/>
    </row>
    <row r="42" spans="9:21" x14ac:dyDescent="0.25">
      <c r="I42" s="10" t="s">
        <v>97</v>
      </c>
      <c r="J42" s="4">
        <f>J33+J41</f>
        <v>441.46999999999997</v>
      </c>
      <c r="K42" s="4">
        <f>K33+K41</f>
        <v>486.17</v>
      </c>
      <c r="L42" s="4">
        <f t="shared" si="10"/>
        <v>-44.700000000000045</v>
      </c>
      <c r="M42" s="53">
        <f t="shared" si="11"/>
        <v>-9.1943147458707949E-2</v>
      </c>
      <c r="N42" s="53"/>
    </row>
    <row r="43" spans="9:21" x14ac:dyDescent="0.25">
      <c r="I43" s="12" t="s">
        <v>98</v>
      </c>
      <c r="J43" s="8">
        <f>J28+J42</f>
        <v>4333.95</v>
      </c>
      <c r="K43" s="8">
        <f>K28+K42</f>
        <v>3815.090000000002</v>
      </c>
      <c r="L43" s="8">
        <f t="shared" si="10"/>
        <v>518.85999999999785</v>
      </c>
      <c r="M43" s="54">
        <f t="shared" si="11"/>
        <v>0.13600203402803016</v>
      </c>
      <c r="N43" s="54"/>
    </row>
    <row r="45" spans="9:21" x14ac:dyDescent="0.25">
      <c r="I45" s="13"/>
    </row>
  </sheetData>
  <mergeCells count="100">
    <mergeCell ref="W23:Z23"/>
    <mergeCell ref="W1:Z1"/>
    <mergeCell ref="W3:Z3"/>
    <mergeCell ref="W7:Z7"/>
    <mergeCell ref="W11:Z11"/>
    <mergeCell ref="W18:Z18"/>
    <mergeCell ref="T36:U36"/>
    <mergeCell ref="T27:U27"/>
    <mergeCell ref="P29:U29"/>
    <mergeCell ref="T30:U30"/>
    <mergeCell ref="T31:U31"/>
    <mergeCell ref="T32:U32"/>
    <mergeCell ref="T24:U24"/>
    <mergeCell ref="T25:U25"/>
    <mergeCell ref="T26:U26"/>
    <mergeCell ref="T34:U34"/>
    <mergeCell ref="T35:U35"/>
    <mergeCell ref="T18:U18"/>
    <mergeCell ref="T19:U19"/>
    <mergeCell ref="P21:U21"/>
    <mergeCell ref="T22:U22"/>
    <mergeCell ref="T23:U23"/>
    <mergeCell ref="T13:U13"/>
    <mergeCell ref="T14:U14"/>
    <mergeCell ref="T15:U15"/>
    <mergeCell ref="T16:U16"/>
    <mergeCell ref="T17:U17"/>
    <mergeCell ref="M40:N40"/>
    <mergeCell ref="M41:N41"/>
    <mergeCell ref="M42:N42"/>
    <mergeCell ref="M43:N43"/>
    <mergeCell ref="P1:U1"/>
    <mergeCell ref="T2:U2"/>
    <mergeCell ref="P3:U3"/>
    <mergeCell ref="T4:U4"/>
    <mergeCell ref="T5:U5"/>
    <mergeCell ref="T6:U6"/>
    <mergeCell ref="T7:U7"/>
    <mergeCell ref="T8:U8"/>
    <mergeCell ref="T9:U9"/>
    <mergeCell ref="T10:U10"/>
    <mergeCell ref="T11:U11"/>
    <mergeCell ref="T12:U12"/>
    <mergeCell ref="I35:N35"/>
    <mergeCell ref="M36:N36"/>
    <mergeCell ref="M37:N37"/>
    <mergeCell ref="M38:N38"/>
    <mergeCell ref="M39:N39"/>
    <mergeCell ref="M28:N28"/>
    <mergeCell ref="I30:N30"/>
    <mergeCell ref="M31:N31"/>
    <mergeCell ref="M32:N32"/>
    <mergeCell ref="M33:N33"/>
    <mergeCell ref="M22:N22"/>
    <mergeCell ref="I24:N24"/>
    <mergeCell ref="I25:N25"/>
    <mergeCell ref="M26:N26"/>
    <mergeCell ref="M27:N27"/>
    <mergeCell ref="M17:N17"/>
    <mergeCell ref="M18:N18"/>
    <mergeCell ref="M19:N19"/>
    <mergeCell ref="M20:N20"/>
    <mergeCell ref="M21:N21"/>
    <mergeCell ref="M11:N11"/>
    <mergeCell ref="I13:N13"/>
    <mergeCell ref="M14:N14"/>
    <mergeCell ref="M15:N15"/>
    <mergeCell ref="M16:N16"/>
    <mergeCell ref="M6:N6"/>
    <mergeCell ref="M7:N7"/>
    <mergeCell ref="M8:N8"/>
    <mergeCell ref="M9:N9"/>
    <mergeCell ref="M10:N10"/>
    <mergeCell ref="I1:N1"/>
    <mergeCell ref="M2:N2"/>
    <mergeCell ref="I3:N3"/>
    <mergeCell ref="I4:N4"/>
    <mergeCell ref="M5:N5"/>
    <mergeCell ref="B1:G1"/>
    <mergeCell ref="F2:G2"/>
    <mergeCell ref="B3:G3"/>
    <mergeCell ref="F4:G4"/>
    <mergeCell ref="F5:G5"/>
    <mergeCell ref="F6:G6"/>
    <mergeCell ref="B8:G8"/>
    <mergeCell ref="F9:G9"/>
    <mergeCell ref="F10:G10"/>
    <mergeCell ref="F11:G11"/>
    <mergeCell ref="F12:G12"/>
    <mergeCell ref="F13:G13"/>
    <mergeCell ref="F14:G14"/>
    <mergeCell ref="F16:G16"/>
    <mergeCell ref="F18:G18"/>
    <mergeCell ref="F26:G26"/>
    <mergeCell ref="F27:G27"/>
    <mergeCell ref="F20:G20"/>
    <mergeCell ref="F21:G21"/>
    <mergeCell ref="B23:G23"/>
    <mergeCell ref="F24:G24"/>
    <mergeCell ref="F25:G25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8"/>
  <sheetViews>
    <sheetView showGridLines="0" tabSelected="1" zoomScaleNormal="100" workbookViewId="0">
      <selection activeCell="Q7" sqref="Q7"/>
    </sheetView>
  </sheetViews>
  <sheetFormatPr defaultColWidth="8.5703125" defaultRowHeight="15" x14ac:dyDescent="0.25"/>
  <cols>
    <col min="1" max="1" width="2" customWidth="1"/>
    <col min="2" max="2" width="49.140625" customWidth="1"/>
    <col min="3" max="3" width="58.5703125" customWidth="1"/>
    <col min="4" max="4" width="2" customWidth="1"/>
  </cols>
  <sheetData>
    <row r="1" spans="2:3" ht="24" customHeight="1" x14ac:dyDescent="0.25">
      <c r="B1" s="57" t="s">
        <v>176</v>
      </c>
      <c r="C1" s="57"/>
    </row>
    <row r="2" spans="2:3" x14ac:dyDescent="0.25">
      <c r="B2" s="13"/>
    </row>
    <row r="4" spans="2:3" ht="15" customHeight="1" x14ac:dyDescent="0.25">
      <c r="B4" s="59" t="s">
        <v>177</v>
      </c>
      <c r="C4" s="59"/>
    </row>
    <row r="5" spans="2:3" ht="15" customHeight="1" x14ac:dyDescent="0.25">
      <c r="B5" s="17" t="s">
        <v>178</v>
      </c>
      <c r="C5" s="17" t="s">
        <v>179</v>
      </c>
    </row>
    <row r="6" spans="2:3" ht="39.75" customHeight="1" x14ac:dyDescent="0.25">
      <c r="B6" s="18" t="s">
        <v>180</v>
      </c>
      <c r="C6" s="19" t="s">
        <v>181</v>
      </c>
    </row>
    <row r="7" spans="2:3" ht="39.75" customHeight="1" x14ac:dyDescent="0.25">
      <c r="B7" s="18" t="s">
        <v>182</v>
      </c>
      <c r="C7" s="43" t="s">
        <v>274</v>
      </c>
    </row>
    <row r="8" spans="2:3" ht="39.75" customHeight="1" x14ac:dyDescent="0.25">
      <c r="B8" s="18" t="s">
        <v>183</v>
      </c>
      <c r="C8" s="19" t="s">
        <v>184</v>
      </c>
    </row>
    <row r="9" spans="2:3" ht="39.75" customHeight="1" x14ac:dyDescent="0.25">
      <c r="B9" s="18" t="s">
        <v>185</v>
      </c>
      <c r="C9" s="19" t="s">
        <v>186</v>
      </c>
    </row>
    <row r="10" spans="2:3" ht="39.75" customHeight="1" x14ac:dyDescent="0.25">
      <c r="B10" s="18" t="s">
        <v>187</v>
      </c>
      <c r="C10" s="19" t="s">
        <v>188</v>
      </c>
    </row>
    <row r="11" spans="2:3" ht="39.75" customHeight="1" x14ac:dyDescent="0.25">
      <c r="B11" s="18" t="s">
        <v>189</v>
      </c>
      <c r="C11" s="19" t="s">
        <v>190</v>
      </c>
    </row>
    <row r="13" spans="2:3" ht="15" customHeight="1" x14ac:dyDescent="0.25">
      <c r="B13" s="59" t="s">
        <v>191</v>
      </c>
      <c r="C13" s="59"/>
    </row>
    <row r="14" spans="2:3" ht="15" customHeight="1" x14ac:dyDescent="0.25">
      <c r="B14" s="17" t="s">
        <v>192</v>
      </c>
      <c r="C14" s="17" t="s">
        <v>193</v>
      </c>
    </row>
    <row r="15" spans="2:3" ht="39.75" customHeight="1" x14ac:dyDescent="0.25">
      <c r="B15" s="20" t="s">
        <v>194</v>
      </c>
      <c r="C15" s="21" t="s">
        <v>195</v>
      </c>
    </row>
    <row r="16" spans="2:3" ht="39.75" customHeight="1" x14ac:dyDescent="0.25">
      <c r="B16" s="20" t="s">
        <v>196</v>
      </c>
      <c r="C16" s="21" t="s">
        <v>197</v>
      </c>
    </row>
    <row r="17" spans="2:3" ht="39.75" customHeight="1" x14ac:dyDescent="0.25">
      <c r="B17" s="20" t="s">
        <v>198</v>
      </c>
      <c r="C17" s="21" t="s">
        <v>199</v>
      </c>
    </row>
    <row r="18" spans="2:3" ht="39.75" customHeight="1" x14ac:dyDescent="0.25">
      <c r="B18" s="20" t="s">
        <v>200</v>
      </c>
      <c r="C18" s="21" t="s">
        <v>201</v>
      </c>
    </row>
    <row r="19" spans="2:3" ht="39.75" customHeight="1" x14ac:dyDescent="0.25">
      <c r="B19" s="20" t="s">
        <v>202</v>
      </c>
      <c r="C19" s="21" t="s">
        <v>203</v>
      </c>
    </row>
    <row r="20" spans="2:3" ht="39.75" customHeight="1" x14ac:dyDescent="0.25">
      <c r="B20" s="20" t="s">
        <v>204</v>
      </c>
      <c r="C20" s="21" t="s">
        <v>205</v>
      </c>
    </row>
    <row r="22" spans="2:3" ht="15" customHeight="1" x14ac:dyDescent="0.25">
      <c r="B22" s="59" t="s">
        <v>206</v>
      </c>
      <c r="C22" s="59"/>
    </row>
    <row r="23" spans="2:3" ht="15" customHeight="1" x14ac:dyDescent="0.25">
      <c r="B23" s="17" t="s">
        <v>207</v>
      </c>
      <c r="C23" s="17" t="s">
        <v>208</v>
      </c>
    </row>
    <row r="24" spans="2:3" ht="39.75" customHeight="1" x14ac:dyDescent="0.25">
      <c r="B24" s="18" t="s">
        <v>209</v>
      </c>
      <c r="C24" s="20" t="s">
        <v>210</v>
      </c>
    </row>
    <row r="25" spans="2:3" ht="39.75" customHeight="1" x14ac:dyDescent="0.25">
      <c r="B25" s="18" t="s">
        <v>211</v>
      </c>
      <c r="C25" s="20" t="s">
        <v>212</v>
      </c>
    </row>
    <row r="26" spans="2:3" ht="39.75" customHeight="1" x14ac:dyDescent="0.25">
      <c r="B26" s="18" t="s">
        <v>213</v>
      </c>
      <c r="C26" s="20" t="s">
        <v>214</v>
      </c>
    </row>
    <row r="27" spans="2:3" ht="39.75" customHeight="1" x14ac:dyDescent="0.25">
      <c r="B27" s="18" t="s">
        <v>215</v>
      </c>
      <c r="C27" s="20" t="s">
        <v>216</v>
      </c>
    </row>
    <row r="28" spans="2:3" ht="39.75" customHeight="1" x14ac:dyDescent="0.25">
      <c r="B28" s="18" t="s">
        <v>217</v>
      </c>
      <c r="C28" s="20" t="s">
        <v>218</v>
      </c>
    </row>
    <row r="30" spans="2:3" ht="15" customHeight="1" x14ac:dyDescent="0.25">
      <c r="B30" s="59" t="s">
        <v>219</v>
      </c>
      <c r="C30" s="59"/>
    </row>
    <row r="31" spans="2:3" ht="15" customHeight="1" x14ac:dyDescent="0.25">
      <c r="B31" s="17" t="s">
        <v>220</v>
      </c>
      <c r="C31" s="17" t="s">
        <v>221</v>
      </c>
    </row>
    <row r="32" spans="2:3" ht="39.75" customHeight="1" x14ac:dyDescent="0.25">
      <c r="B32" s="22" t="s">
        <v>222</v>
      </c>
      <c r="C32" s="23" t="s">
        <v>223</v>
      </c>
    </row>
    <row r="33" spans="2:3" ht="39.75" customHeight="1" x14ac:dyDescent="0.25">
      <c r="B33" s="22" t="s">
        <v>224</v>
      </c>
      <c r="C33" s="23" t="s">
        <v>225</v>
      </c>
    </row>
    <row r="34" spans="2:3" ht="39.75" customHeight="1" x14ac:dyDescent="0.25">
      <c r="B34" s="22" t="s">
        <v>226</v>
      </c>
      <c r="C34" s="23" t="s">
        <v>227</v>
      </c>
    </row>
    <row r="35" spans="2:3" ht="39.75" customHeight="1" x14ac:dyDescent="0.25">
      <c r="B35" s="22" t="s">
        <v>228</v>
      </c>
      <c r="C35" s="23" t="s">
        <v>229</v>
      </c>
    </row>
    <row r="36" spans="2:3" ht="39.75" customHeight="1" x14ac:dyDescent="0.25">
      <c r="B36" s="22" t="s">
        <v>230</v>
      </c>
      <c r="C36" s="23" t="s">
        <v>231</v>
      </c>
    </row>
    <row r="37" spans="2:3" ht="39.75" customHeight="1" x14ac:dyDescent="0.25">
      <c r="B37" s="22" t="s">
        <v>232</v>
      </c>
      <c r="C37" s="23" t="s">
        <v>233</v>
      </c>
    </row>
    <row r="39" spans="2:3" ht="15" customHeight="1" x14ac:dyDescent="0.25">
      <c r="B39" s="59" t="s">
        <v>234</v>
      </c>
      <c r="C39" s="59"/>
    </row>
    <row r="40" spans="2:3" ht="15" customHeight="1" x14ac:dyDescent="0.25">
      <c r="B40" s="17" t="s">
        <v>235</v>
      </c>
      <c r="C40" s="17" t="s">
        <v>236</v>
      </c>
    </row>
    <row r="41" spans="2:3" ht="39.75" customHeight="1" x14ac:dyDescent="0.25">
      <c r="B41" s="24" t="s">
        <v>237</v>
      </c>
      <c r="C41" s="23" t="s">
        <v>238</v>
      </c>
    </row>
    <row r="42" spans="2:3" ht="39.75" customHeight="1" x14ac:dyDescent="0.25">
      <c r="B42" s="24" t="s">
        <v>239</v>
      </c>
      <c r="C42" s="23" t="s">
        <v>240</v>
      </c>
    </row>
    <row r="43" spans="2:3" ht="39.75" customHeight="1" x14ac:dyDescent="0.25">
      <c r="B43" s="24" t="s">
        <v>241</v>
      </c>
      <c r="C43" s="23" t="s">
        <v>242</v>
      </c>
    </row>
    <row r="44" spans="2:3" ht="39.75" customHeight="1" x14ac:dyDescent="0.25">
      <c r="B44" s="24" t="s">
        <v>243</v>
      </c>
      <c r="C44" s="23" t="s">
        <v>244</v>
      </c>
    </row>
    <row r="45" spans="2:3" ht="39.75" customHeight="1" x14ac:dyDescent="0.25">
      <c r="B45" s="24" t="s">
        <v>245</v>
      </c>
      <c r="C45" s="23" t="s">
        <v>246</v>
      </c>
    </row>
    <row r="46" spans="2:3" ht="39.75" customHeight="1" x14ac:dyDescent="0.25">
      <c r="B46" s="24" t="s">
        <v>247</v>
      </c>
      <c r="C46" s="23" t="s">
        <v>248</v>
      </c>
    </row>
    <row r="47" spans="2:3" ht="39.75" customHeight="1" x14ac:dyDescent="0.25">
      <c r="B47" s="24" t="s">
        <v>249</v>
      </c>
      <c r="C47" s="23" t="s">
        <v>250</v>
      </c>
    </row>
    <row r="49" spans="2:3" ht="15" customHeight="1" x14ac:dyDescent="0.25">
      <c r="B49" s="59" t="s">
        <v>251</v>
      </c>
      <c r="C49" s="59"/>
    </row>
    <row r="50" spans="2:3" ht="15" customHeight="1" x14ac:dyDescent="0.25">
      <c r="B50" s="17" t="s">
        <v>252</v>
      </c>
      <c r="C50" s="17" t="s">
        <v>253</v>
      </c>
    </row>
    <row r="51" spans="2:3" ht="39.75" customHeight="1" x14ac:dyDescent="0.25">
      <c r="B51" s="19" t="s">
        <v>254</v>
      </c>
      <c r="C51" s="23" t="s">
        <v>255</v>
      </c>
    </row>
    <row r="52" spans="2:3" ht="39.75" customHeight="1" x14ac:dyDescent="0.25">
      <c r="B52" s="19" t="s">
        <v>256</v>
      </c>
      <c r="C52" s="23" t="s">
        <v>257</v>
      </c>
    </row>
    <row r="53" spans="2:3" ht="39.75" customHeight="1" x14ac:dyDescent="0.25">
      <c r="B53" s="19" t="s">
        <v>258</v>
      </c>
      <c r="C53" s="23" t="s">
        <v>259</v>
      </c>
    </row>
    <row r="54" spans="2:3" ht="39.75" customHeight="1" x14ac:dyDescent="0.25">
      <c r="B54" s="19" t="s">
        <v>260</v>
      </c>
      <c r="C54" s="23" t="s">
        <v>261</v>
      </c>
    </row>
    <row r="55" spans="2:3" ht="39.75" customHeight="1" x14ac:dyDescent="0.25">
      <c r="B55" s="19" t="s">
        <v>262</v>
      </c>
      <c r="C55" s="23" t="s">
        <v>263</v>
      </c>
    </row>
    <row r="56" spans="2:3" ht="39.75" customHeight="1" x14ac:dyDescent="0.25">
      <c r="B56" s="19" t="s">
        <v>264</v>
      </c>
      <c r="C56" s="23" t="s">
        <v>265</v>
      </c>
    </row>
    <row r="58" spans="2:3" ht="32.25" customHeight="1" x14ac:dyDescent="0.25">
      <c r="B58" s="13"/>
    </row>
  </sheetData>
  <mergeCells count="7">
    <mergeCell ref="B39:C39"/>
    <mergeCell ref="B49:C49"/>
    <mergeCell ref="B1:C1"/>
    <mergeCell ref="B4:C4"/>
    <mergeCell ref="B13:C13"/>
    <mergeCell ref="B22:C22"/>
    <mergeCell ref="B30:C3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HOME</vt:lpstr>
      <vt:lpstr>Health Analysis</vt:lpstr>
      <vt:lpstr>Business Analysis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AKM</dc:creator>
  <dc:description/>
  <cp:lastModifiedBy>AKM</cp:lastModifiedBy>
  <cp:revision>0</cp:revision>
  <dcterms:created xsi:type="dcterms:W3CDTF">2026-03-24T07:21:55Z</dcterms:created>
  <dcterms:modified xsi:type="dcterms:W3CDTF">2026-03-30T17:33:59Z</dcterms:modified>
  <dc:language>en-US</dc:language>
</cp:coreProperties>
</file>