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anj\Documents\GitHub\inakm.github.io\myprojects\RVNL\"/>
    </mc:Choice>
  </mc:AlternateContent>
  <xr:revisionPtr revIDLastSave="0" documentId="13_ncr:1_{D9D8E5DA-D189-4C6C-811E-63F5AFDDE97D}" xr6:coauthVersionLast="47" xr6:coauthVersionMax="47" xr10:uidLastSave="{00000000-0000-0000-0000-000000000000}"/>
  <bookViews>
    <workbookView xWindow="-108" yWindow="-108" windowWidth="30936" windowHeight="18696" tabRatio="500" activeTab="4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" sheetId="4" r:id="rId4"/>
    <sheet name="Key Ratio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5" l="1"/>
  <c r="B17" i="5"/>
  <c r="C13" i="5"/>
  <c r="B13" i="5"/>
  <c r="C5" i="5"/>
  <c r="B23" i="4"/>
  <c r="E22" i="4"/>
  <c r="E23" i="4" s="1"/>
  <c r="D22" i="4"/>
  <c r="C22" i="4"/>
  <c r="B22" i="4"/>
  <c r="E20" i="4"/>
  <c r="D20" i="4"/>
  <c r="D23" i="4" s="1"/>
  <c r="C20" i="4"/>
  <c r="C23" i="4" s="1"/>
  <c r="B20" i="4"/>
  <c r="B18" i="4"/>
  <c r="E14" i="4"/>
  <c r="E18" i="4" s="1"/>
  <c r="D14" i="4"/>
  <c r="D18" i="4" s="1"/>
  <c r="C14" i="4"/>
  <c r="C18" i="4" s="1"/>
  <c r="B14" i="4"/>
  <c r="C8" i="4"/>
  <c r="E32" i="3"/>
  <c r="D32" i="3"/>
  <c r="C32" i="3"/>
  <c r="B32" i="3"/>
  <c r="C27" i="3"/>
  <c r="C33" i="3" s="1"/>
  <c r="B27" i="3"/>
  <c r="D25" i="3"/>
  <c r="C23" i="3"/>
  <c r="C11" i="5" s="1"/>
  <c r="B23" i="3"/>
  <c r="B33" i="3" s="1"/>
  <c r="C17" i="3"/>
  <c r="B17" i="3"/>
  <c r="B18" i="3" s="1"/>
  <c r="B34" i="3" s="1"/>
  <c r="E15" i="3"/>
  <c r="D15" i="3"/>
  <c r="C12" i="3"/>
  <c r="C18" i="3" s="1"/>
  <c r="B12" i="3"/>
  <c r="C14" i="2"/>
  <c r="D14" i="2" s="1"/>
  <c r="E14" i="2" s="1"/>
  <c r="B14" i="2"/>
  <c r="D13" i="2"/>
  <c r="D7" i="4" s="1"/>
  <c r="C13" i="2"/>
  <c r="C7" i="4" s="1"/>
  <c r="B13" i="2"/>
  <c r="B7" i="4" s="1"/>
  <c r="C12" i="2"/>
  <c r="D12" i="2" s="1"/>
  <c r="B12" i="2"/>
  <c r="B8" i="4" s="1"/>
  <c r="C11" i="2"/>
  <c r="D11" i="2" s="1"/>
  <c r="E11" i="2" s="1"/>
  <c r="B11" i="2"/>
  <c r="B15" i="2" s="1"/>
  <c r="B8" i="2"/>
  <c r="B17" i="2" s="1"/>
  <c r="C7" i="2"/>
  <c r="C8" i="2" s="1"/>
  <c r="B7" i="2"/>
  <c r="C6" i="2"/>
  <c r="D6" i="2" s="1"/>
  <c r="B6" i="2"/>
  <c r="B12" i="5" l="1"/>
  <c r="B6" i="5"/>
  <c r="B18" i="2"/>
  <c r="E6" i="2"/>
  <c r="D10" i="2"/>
  <c r="D15" i="2" s="1"/>
  <c r="D5" i="5"/>
  <c r="D14" i="3"/>
  <c r="D17" i="3" s="1"/>
  <c r="C17" i="2"/>
  <c r="C19" i="2"/>
  <c r="E12" i="2"/>
  <c r="E8" i="4" s="1"/>
  <c r="D8" i="4"/>
  <c r="C34" i="3"/>
  <c r="D7" i="2"/>
  <c r="E7" i="2" s="1"/>
  <c r="D13" i="5"/>
  <c r="E13" i="2"/>
  <c r="E7" i="4" s="1"/>
  <c r="B11" i="5"/>
  <c r="D27" i="3"/>
  <c r="B19" i="2"/>
  <c r="E25" i="3"/>
  <c r="C15" i="2"/>
  <c r="D7" i="3"/>
  <c r="C20" i="2" l="1"/>
  <c r="C7" i="5" s="1"/>
  <c r="C9" i="5"/>
  <c r="C22" i="2"/>
  <c r="C6" i="4"/>
  <c r="C12" i="4" s="1"/>
  <c r="C24" i="4" s="1"/>
  <c r="C27" i="4" s="1"/>
  <c r="D26" i="4" s="1"/>
  <c r="C12" i="5"/>
  <c r="C6" i="5"/>
  <c r="C18" i="2"/>
  <c r="D8" i="2"/>
  <c r="E7" i="3"/>
  <c r="E12" i="3" s="1"/>
  <c r="E18" i="3" s="1"/>
  <c r="D12" i="3"/>
  <c r="D18" i="3" s="1"/>
  <c r="E27" i="3"/>
  <c r="E13" i="5"/>
  <c r="E10" i="2"/>
  <c r="E15" i="2" s="1"/>
  <c r="E8" i="2"/>
  <c r="E5" i="5"/>
  <c r="E14" i="3"/>
  <c r="E17" i="3" s="1"/>
  <c r="B22" i="2"/>
  <c r="B9" i="5"/>
  <c r="B20" i="2"/>
  <c r="B7" i="5" s="1"/>
  <c r="B6" i="4"/>
  <c r="B12" i="4" s="1"/>
  <c r="B24" i="4" s="1"/>
  <c r="B27" i="4" s="1"/>
  <c r="C25" i="2" l="1"/>
  <c r="C16" i="5"/>
  <c r="C23" i="2"/>
  <c r="C8" i="5" s="1"/>
  <c r="C15" i="5"/>
  <c r="B25" i="2"/>
  <c r="B23" i="2"/>
  <c r="B8" i="5" s="1"/>
  <c r="B16" i="5"/>
  <c r="B15" i="5"/>
  <c r="E19" i="2"/>
  <c r="E17" i="2"/>
  <c r="D17" i="2"/>
  <c r="D19" i="2"/>
  <c r="D12" i="5" l="1"/>
  <c r="D6" i="5"/>
  <c r="D18" i="2"/>
  <c r="D21" i="2"/>
  <c r="D9" i="5" s="1"/>
  <c r="D20" i="2"/>
  <c r="D7" i="5" s="1"/>
  <c r="D6" i="4"/>
  <c r="D12" i="4" s="1"/>
  <c r="D24" i="4" s="1"/>
  <c r="D27" i="4" s="1"/>
  <c r="E26" i="4" s="1"/>
  <c r="D22" i="2"/>
  <c r="E21" i="2"/>
  <c r="E9" i="5" s="1"/>
  <c r="E20" i="2"/>
  <c r="E7" i="5" s="1"/>
  <c r="E6" i="4"/>
  <c r="E12" i="4" s="1"/>
  <c r="E24" i="4" s="1"/>
  <c r="E27" i="4" s="1"/>
  <c r="E22" i="2"/>
  <c r="E12" i="5"/>
  <c r="E6" i="5"/>
  <c r="E18" i="2"/>
  <c r="D22" i="3" l="1"/>
  <c r="D27" i="2"/>
  <c r="D17" i="5" s="1"/>
  <c r="D16" i="5"/>
  <c r="D25" i="2"/>
  <c r="D23" i="2"/>
  <c r="D8" i="5" s="1"/>
  <c r="E27" i="2"/>
  <c r="E17" i="5" s="1"/>
  <c r="E25" i="2"/>
  <c r="E23" i="2"/>
  <c r="E8" i="5" s="1"/>
  <c r="E16" i="5"/>
  <c r="D23" i="3" l="1"/>
  <c r="E22" i="3"/>
  <c r="E23" i="3" s="1"/>
  <c r="E33" i="3" l="1"/>
  <c r="E34" i="3" s="1"/>
  <c r="E11" i="5"/>
  <c r="E15" i="5"/>
  <c r="D33" i="3"/>
  <c r="D34" i="3" s="1"/>
  <c r="D11" i="5"/>
  <c r="D15" i="5"/>
</calcChain>
</file>

<file path=xl/sharedStrings.xml><?xml version="1.0" encoding="utf-8"?>
<sst xmlns="http://schemas.openxmlformats.org/spreadsheetml/2006/main" count="150" uniqueCount="124">
  <si>
    <t>Rail Vikas Nigam Limited - Model Assumptions</t>
  </si>
  <si>
    <t>Units: INR Crore | Source: RVNL Annual Report FY2025</t>
  </si>
  <si>
    <t>Particulars</t>
  </si>
  <si>
    <t>FY2024A</t>
  </si>
  <si>
    <t>FY2025A</t>
  </si>
  <si>
    <t>FY2026E</t>
  </si>
  <si>
    <t>FY2027E</t>
  </si>
  <si>
    <t>Income Statement Assumptions</t>
  </si>
  <si>
    <t>Revenue from Operations (INR Cr)</t>
  </si>
  <si>
    <t>Revenue Growth %</t>
  </si>
  <si>
    <t>Other Income (INR Cr)</t>
  </si>
  <si>
    <t>Expenditure on Operations % of Revenue</t>
  </si>
  <si>
    <t>Derived from P&amp;L</t>
  </si>
  <si>
    <t>Employee Benefit Expense (INR Cr)</t>
  </si>
  <si>
    <t>Employee Growth %</t>
  </si>
  <si>
    <t>Finance Costs (INR Cr)</t>
  </si>
  <si>
    <t>Finance Cost Growth %</t>
  </si>
  <si>
    <t>Depreciation (INR Cr)</t>
  </si>
  <si>
    <t>Depreciation Growth %</t>
  </si>
  <si>
    <t>Other Expenses (INR Cr)</t>
  </si>
  <si>
    <t>Other Expenses Growth %</t>
  </si>
  <si>
    <t>Effective Tax Rate %</t>
  </si>
  <si>
    <t>Balance Sheet / Working Capital Assumptions</t>
  </si>
  <si>
    <t>Days Receivable (Trade)</t>
  </si>
  <si>
    <t>Capex (INR Cr)</t>
  </si>
  <si>
    <t>Long-term Borrowings Repayment (INR Cr)</t>
  </si>
  <si>
    <t>Dividend Payout (INR Cr)</t>
  </si>
  <si>
    <t>Color Legend:</t>
  </si>
  <si>
    <t>Blue = Hardcoded Input</t>
  </si>
  <si>
    <t>Black = Formula / Calculated</t>
  </si>
  <si>
    <t>Green = Cross-sheet Link</t>
  </si>
  <si>
    <t>Rail Vikas Nigam Limited - Income Statement</t>
  </si>
  <si>
    <t>Units: INR Crore | Source: Standalone Financial Statements</t>
  </si>
  <si>
    <t>Revenue</t>
  </si>
  <si>
    <t>Revenue from Operations</t>
  </si>
  <si>
    <t>Other Income</t>
  </si>
  <si>
    <t>Total Income</t>
  </si>
  <si>
    <t>Expenses</t>
  </si>
  <si>
    <t>Expenditure on Operations</t>
  </si>
  <si>
    <t>Employee Benefits Expense</t>
  </si>
  <si>
    <t>Finance Costs</t>
  </si>
  <si>
    <t>Depreciation and Amortisation</t>
  </si>
  <si>
    <t>Other Expenses</t>
  </si>
  <si>
    <t>Total Expenses</t>
  </si>
  <si>
    <t>Key Metrics</t>
  </si>
  <si>
    <t>EBITDA (PBT + Finance Costs + Dep)</t>
  </si>
  <si>
    <t>EBITDA Margin %</t>
  </si>
  <si>
    <t>Profit Before Tax (PBT)</t>
  </si>
  <si>
    <t>PBT Margin %</t>
  </si>
  <si>
    <t>Tax Expense</t>
  </si>
  <si>
    <t>Profit After Tax (PAT)</t>
  </si>
  <si>
    <t>PAT Margin %</t>
  </si>
  <si>
    <t>Other Comprehensive Income (OCI)</t>
  </si>
  <si>
    <t>Total Comprehensive Income</t>
  </si>
  <si>
    <t>Per Share Data (shares: 2,08,50,20,100)</t>
  </si>
  <si>
    <t>EPS - Basic (Rs.)</t>
  </si>
  <si>
    <t>DPS - Dividend per Share (Rs.)</t>
  </si>
  <si>
    <t>Rail Vikas Nigam Limited - Balance Sheet</t>
  </si>
  <si>
    <t>Units: INR Crore | Source: Standalone Balance Sheet as at 31 March 2025</t>
  </si>
  <si>
    <t>ASSETS</t>
  </si>
  <si>
    <t>Non-Current Assets</t>
  </si>
  <si>
    <t xml:space="preserve">  Property, Plant and Equipment</t>
  </si>
  <si>
    <t xml:space="preserve">  Right-of-Use Assets</t>
  </si>
  <si>
    <t xml:space="preserve">  Investments (Non-Current)</t>
  </si>
  <si>
    <t xml:space="preserve">  Lease Receivables (Non-Current)</t>
  </si>
  <si>
    <t xml:space="preserve">  Other Non-Current Assets</t>
  </si>
  <si>
    <t>Total Non-Current Assets</t>
  </si>
  <si>
    <t>Current Assets</t>
  </si>
  <si>
    <t xml:space="preserve">  Trade Receivables</t>
  </si>
  <si>
    <t xml:space="preserve">  Cash and Cash Equivalents</t>
  </si>
  <si>
    <t xml:space="preserve">  Other Current Assets (incl. Bank Bal)</t>
  </si>
  <si>
    <t>Total Current Assets</t>
  </si>
  <si>
    <t>TOTAL ASSETS</t>
  </si>
  <si>
    <t>EQUITY AND LIABILITIES</t>
  </si>
  <si>
    <t>Equity</t>
  </si>
  <si>
    <t xml:space="preserve">  Share Capital</t>
  </si>
  <si>
    <t xml:space="preserve">  Reserves and Surplus</t>
  </si>
  <si>
    <t>Total Equity</t>
  </si>
  <si>
    <t>Non-Current Liabilities</t>
  </si>
  <si>
    <t xml:space="preserve">  Long-Term Borrowings (IRFC)</t>
  </si>
  <si>
    <t xml:space="preserve">  Other Non-Current Liabilities</t>
  </si>
  <si>
    <t>Total Non-Current Liabilities</t>
  </si>
  <si>
    <t>Current Liabilities</t>
  </si>
  <si>
    <t xml:space="preserve">  Current Borrowings</t>
  </si>
  <si>
    <t xml:space="preserve">  Trade Payables</t>
  </si>
  <si>
    <t xml:space="preserve">  Other Current Liabilities</t>
  </si>
  <si>
    <t>Total Current Liabilities</t>
  </si>
  <si>
    <t>TOTAL EQUITY AND LIABILITIES</t>
  </si>
  <si>
    <t>Balance Check (Assets - E&amp;L) - should be zero</t>
  </si>
  <si>
    <t>Rail Vikas Nigam Limited - Cash Flow Statement</t>
  </si>
  <si>
    <t>Units: INR Crore | Indirect Method</t>
  </si>
  <si>
    <t>A. Cash Flow from Operating Activities</t>
  </si>
  <si>
    <t>Profit Before Tax</t>
  </si>
  <si>
    <t>Add: Depreciation and Amortisation</t>
  </si>
  <si>
    <t>Add: Finance Costs</t>
  </si>
  <si>
    <t>Less: Interest Income (Other Income)</t>
  </si>
  <si>
    <t>Working Capital Changes (Net)</t>
  </si>
  <si>
    <t>Less: Income Tax Paid</t>
  </si>
  <si>
    <t>Net Cash from Operating Activities (A)</t>
  </si>
  <si>
    <t>B. Cash Flow from Investing Activities</t>
  </si>
  <si>
    <t>Purchase of Fixed Assets (Capex)</t>
  </si>
  <si>
    <t>Investment in Subs / JVs</t>
  </si>
  <si>
    <t>Interest and Dividend Received</t>
  </si>
  <si>
    <t>Change in Bank Balances (FDs)</t>
  </si>
  <si>
    <t>Net Cash from Investing Activities (B)</t>
  </si>
  <si>
    <t>C. Cash Flow from Financing Activities</t>
  </si>
  <si>
    <t>Repayment of Long-Term Borrowings</t>
  </si>
  <si>
    <t>Interest Paid</t>
  </si>
  <si>
    <t>Dividend Paid</t>
  </si>
  <si>
    <t>Net Cash from Financing Activities (C)</t>
  </si>
  <si>
    <t>Net Change in Cash (A+B+C)</t>
  </si>
  <si>
    <t>Opening Cash and Cash Equivalents</t>
  </si>
  <si>
    <t>Closing Cash and Cash Equivalents</t>
  </si>
  <si>
    <t>Rail Vikas Nigam Limited - Key Financial Ratios</t>
  </si>
  <si>
    <t>Metric</t>
  </si>
  <si>
    <t>Profitability</t>
  </si>
  <si>
    <t>-</t>
  </si>
  <si>
    <t>Leverage and Solvency</t>
  </si>
  <si>
    <t>Debt-to-Equity (x)</t>
  </si>
  <si>
    <t>Interest Coverage (x)</t>
  </si>
  <si>
    <t>Net Debt (INR Cr)</t>
  </si>
  <si>
    <t>Returns</t>
  </si>
  <si>
    <t>Return on Equity % (ROE)</t>
  </si>
  <si>
    <t>Return on Assets % (ROA)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</si>
</sst>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\-"/>
    <numFmt numFmtId="165" formatCode="0.0%;\(0.0%\);\-"/>
    <numFmt numFmtId="166" formatCode="0.0\x"/>
  </numFmts>
  <fonts count="1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sz val="9"/>
      <color rgb="FF000000"/>
      <name val="Arial"/>
      <charset val="1"/>
    </font>
    <font>
      <b/>
      <sz val="10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i/>
      <sz val="8"/>
      <color rgb="FF808080"/>
      <name val="Arial"/>
      <charset val="1"/>
    </font>
    <font>
      <b/>
      <sz val="9"/>
      <name val="Arial"/>
      <charset val="1"/>
    </font>
    <font>
      <sz val="9"/>
      <color rgb="FF008000"/>
      <name val="Arial"/>
      <charset val="1"/>
    </font>
    <font>
      <sz val="9"/>
      <name val="Arial"/>
      <charset val="1"/>
    </font>
    <font>
      <b/>
      <i/>
      <sz val="9"/>
      <name val="Arial"/>
      <charset val="1"/>
    </font>
    <font>
      <b/>
      <sz val="9"/>
      <color rgb="FFFFFF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0" fillId="4" borderId="0" xfId="0" applyFont="1" applyFill="1"/>
    <xf numFmtId="0" fontId="10" fillId="4" borderId="0" xfId="0" applyFont="1" applyFill="1" applyAlignment="1">
      <alignment horizontal="left" vertical="center"/>
    </xf>
    <xf numFmtId="0" fontId="9" fillId="0" borderId="0" xfId="0" applyFont="1" applyAlignment="1">
      <alignment horizontal="center"/>
    </xf>
    <xf numFmtId="0" fontId="4" fillId="4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5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7" fillId="0" borderId="0" xfId="0" applyFont="1"/>
    <xf numFmtId="0" fontId="5" fillId="0" borderId="0" xfId="0" applyFont="1"/>
    <xf numFmtId="0" fontId="2" fillId="0" borderId="0" xfId="0" applyFont="1"/>
    <xf numFmtId="0" fontId="8" fillId="0" borderId="0" xfId="0" applyFont="1"/>
    <xf numFmtId="164" fontId="8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164" fontId="11" fillId="2" borderId="1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Alignment="1">
      <alignment horizontal="right" vertical="center"/>
    </xf>
    <xf numFmtId="164" fontId="2" fillId="6" borderId="0" xfId="0" applyNumberFormat="1" applyFont="1" applyFill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E1"/>
    </sheetView>
  </sheetViews>
  <sheetFormatPr defaultColWidth="8.6640625" defaultRowHeight="14.4" x14ac:dyDescent="0.3"/>
  <cols>
    <col min="1" max="1" width="36" customWidth="1"/>
    <col min="2" max="5" width="14" customWidth="1"/>
  </cols>
  <sheetData>
    <row r="1" spans="1:5" ht="24" customHeight="1" x14ac:dyDescent="0.3">
      <c r="A1" s="6" t="s">
        <v>0</v>
      </c>
      <c r="B1" s="6"/>
      <c r="C1" s="6"/>
      <c r="D1" s="6"/>
      <c r="E1" s="6"/>
    </row>
    <row r="2" spans="1:5" x14ac:dyDescent="0.3">
      <c r="A2" s="5" t="s">
        <v>1</v>
      </c>
      <c r="B2" s="5"/>
      <c r="C2" s="5"/>
      <c r="D2" s="5"/>
      <c r="E2" s="5"/>
    </row>
    <row r="4" spans="1:5" ht="18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</row>
    <row r="5" spans="1:5" ht="15.75" customHeight="1" x14ac:dyDescent="0.3">
      <c r="A5" s="4" t="s">
        <v>7</v>
      </c>
      <c r="B5" s="4"/>
      <c r="C5" s="4"/>
      <c r="D5" s="4"/>
      <c r="E5" s="4"/>
    </row>
    <row r="6" spans="1:5" ht="15" customHeight="1" x14ac:dyDescent="0.3">
      <c r="A6" s="8" t="s">
        <v>8</v>
      </c>
      <c r="B6" s="9">
        <v>21732.58</v>
      </c>
      <c r="C6" s="9">
        <v>19869.349999999999</v>
      </c>
      <c r="D6" s="10"/>
      <c r="E6" s="10"/>
    </row>
    <row r="7" spans="1:5" ht="15" customHeight="1" x14ac:dyDescent="0.3">
      <c r="A7" s="8" t="s">
        <v>9</v>
      </c>
      <c r="B7" s="10"/>
      <c r="C7" s="10"/>
      <c r="D7" s="11">
        <v>0.05</v>
      </c>
      <c r="E7" s="11">
        <v>0.08</v>
      </c>
    </row>
    <row r="8" spans="1:5" ht="15" customHeight="1" x14ac:dyDescent="0.3">
      <c r="A8" s="8" t="s">
        <v>10</v>
      </c>
      <c r="B8" s="9">
        <v>1182.55</v>
      </c>
      <c r="C8" s="9">
        <v>1018.89</v>
      </c>
      <c r="D8" s="10"/>
      <c r="E8" s="10"/>
    </row>
    <row r="9" spans="1:5" ht="15" customHeight="1" x14ac:dyDescent="0.3">
      <c r="A9" s="8" t="s">
        <v>11</v>
      </c>
      <c r="B9" s="12" t="s">
        <v>12</v>
      </c>
      <c r="C9" s="12" t="s">
        <v>12</v>
      </c>
      <c r="D9" s="10"/>
      <c r="E9" s="10"/>
    </row>
    <row r="10" spans="1:5" ht="15" customHeight="1" x14ac:dyDescent="0.3">
      <c r="A10" s="8" t="s">
        <v>13</v>
      </c>
      <c r="B10" s="9">
        <v>184.18</v>
      </c>
      <c r="C10" s="9">
        <v>182.98</v>
      </c>
      <c r="D10" s="10"/>
      <c r="E10" s="10"/>
    </row>
    <row r="11" spans="1:5" ht="15" customHeight="1" x14ac:dyDescent="0.3">
      <c r="A11" s="8" t="s">
        <v>14</v>
      </c>
      <c r="B11" s="10"/>
      <c r="C11" s="10"/>
      <c r="D11" s="11">
        <v>0.04</v>
      </c>
      <c r="E11" s="11">
        <v>0.04</v>
      </c>
    </row>
    <row r="12" spans="1:5" ht="15" customHeight="1" x14ac:dyDescent="0.3">
      <c r="A12" s="8" t="s">
        <v>15</v>
      </c>
      <c r="B12" s="9">
        <v>568.49</v>
      </c>
      <c r="C12" s="9">
        <v>539.51</v>
      </c>
      <c r="D12" s="10"/>
      <c r="E12" s="10"/>
    </row>
    <row r="13" spans="1:5" ht="15" customHeight="1" x14ac:dyDescent="0.3">
      <c r="A13" s="8" t="s">
        <v>16</v>
      </c>
      <c r="B13" s="10"/>
      <c r="C13" s="10"/>
      <c r="D13" s="11">
        <v>-0.05</v>
      </c>
      <c r="E13" s="11">
        <v>-0.05</v>
      </c>
    </row>
    <row r="14" spans="1:5" ht="15" customHeight="1" x14ac:dyDescent="0.3">
      <c r="A14" s="8" t="s">
        <v>17</v>
      </c>
      <c r="B14" s="9">
        <v>20.82</v>
      </c>
      <c r="C14" s="9">
        <v>30.6</v>
      </c>
      <c r="D14" s="10"/>
      <c r="E14" s="10"/>
    </row>
    <row r="15" spans="1:5" ht="15" customHeight="1" x14ac:dyDescent="0.3">
      <c r="A15" s="8" t="s">
        <v>18</v>
      </c>
      <c r="B15" s="10"/>
      <c r="C15" s="10"/>
      <c r="D15" s="11">
        <v>0.08</v>
      </c>
      <c r="E15" s="11">
        <v>0.08</v>
      </c>
    </row>
    <row r="16" spans="1:5" ht="15" customHeight="1" x14ac:dyDescent="0.3">
      <c r="A16" s="8" t="s">
        <v>19</v>
      </c>
      <c r="B16" s="9">
        <v>161</v>
      </c>
      <c r="C16" s="9">
        <v>199.78</v>
      </c>
      <c r="D16" s="10"/>
      <c r="E16" s="10"/>
    </row>
    <row r="17" spans="1:5" ht="15" customHeight="1" x14ac:dyDescent="0.3">
      <c r="A17" s="8" t="s">
        <v>20</v>
      </c>
      <c r="B17" s="10"/>
      <c r="C17" s="10"/>
      <c r="D17" s="11">
        <v>0.05</v>
      </c>
      <c r="E17" s="11">
        <v>0.05</v>
      </c>
    </row>
    <row r="18" spans="1:5" ht="15" customHeight="1" x14ac:dyDescent="0.3">
      <c r="A18" s="8" t="s">
        <v>21</v>
      </c>
      <c r="B18" s="10"/>
      <c r="C18" s="10"/>
      <c r="D18" s="11">
        <v>0.23300000000000001</v>
      </c>
      <c r="E18" s="11">
        <v>0.23300000000000001</v>
      </c>
    </row>
    <row r="20" spans="1:5" x14ac:dyDescent="0.3">
      <c r="A20" s="4" t="s">
        <v>22</v>
      </c>
      <c r="B20" s="4"/>
      <c r="C20" s="4"/>
      <c r="D20" s="4"/>
      <c r="E20" s="4"/>
    </row>
    <row r="21" spans="1:5" ht="15" customHeight="1" x14ac:dyDescent="0.3">
      <c r="A21" s="8" t="s">
        <v>23</v>
      </c>
      <c r="B21" s="10"/>
      <c r="C21" s="10"/>
      <c r="D21" s="9">
        <v>27</v>
      </c>
      <c r="E21" s="9">
        <v>27</v>
      </c>
    </row>
    <row r="22" spans="1:5" ht="15" customHeight="1" x14ac:dyDescent="0.3">
      <c r="A22" s="8" t="s">
        <v>24</v>
      </c>
      <c r="B22" s="9">
        <v>116.17</v>
      </c>
      <c r="C22" s="9">
        <v>431.63</v>
      </c>
      <c r="D22" s="9">
        <v>250</v>
      </c>
      <c r="E22" s="9">
        <v>220</v>
      </c>
    </row>
    <row r="23" spans="1:5" ht="15" customHeight="1" x14ac:dyDescent="0.3">
      <c r="A23" s="8" t="s">
        <v>25</v>
      </c>
      <c r="B23" s="9">
        <v>377.29</v>
      </c>
      <c r="C23" s="9">
        <v>472</v>
      </c>
      <c r="D23" s="9">
        <v>472</v>
      </c>
      <c r="E23" s="9">
        <v>400</v>
      </c>
    </row>
    <row r="24" spans="1:5" ht="15" customHeight="1" x14ac:dyDescent="0.3">
      <c r="A24" s="8" t="s">
        <v>26</v>
      </c>
      <c r="B24" s="9">
        <v>439.94</v>
      </c>
      <c r="C24" s="9">
        <v>358.62</v>
      </c>
      <c r="D24" s="9">
        <v>358.62</v>
      </c>
      <c r="E24" s="9">
        <v>400</v>
      </c>
    </row>
    <row r="27" spans="1:5" x14ac:dyDescent="0.3">
      <c r="A27" s="13" t="s">
        <v>27</v>
      </c>
    </row>
    <row r="28" spans="1:5" ht="13.5" customHeight="1" x14ac:dyDescent="0.3">
      <c r="A28" s="14" t="s">
        <v>28</v>
      </c>
    </row>
    <row r="29" spans="1:5" ht="13.5" customHeight="1" x14ac:dyDescent="0.3">
      <c r="A29" s="15" t="s">
        <v>29</v>
      </c>
    </row>
    <row r="30" spans="1:5" ht="13.5" customHeight="1" x14ac:dyDescent="0.3">
      <c r="A30" s="16" t="s">
        <v>30</v>
      </c>
    </row>
  </sheetData>
  <mergeCells count="4">
    <mergeCell ref="A1:E1"/>
    <mergeCell ref="A2:E2"/>
    <mergeCell ref="A5:E5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E1"/>
    </sheetView>
  </sheetViews>
  <sheetFormatPr defaultColWidth="8.6640625" defaultRowHeight="14.4" x14ac:dyDescent="0.3"/>
  <cols>
    <col min="1" max="1" width="38" customWidth="1"/>
    <col min="2" max="5" width="14" customWidth="1"/>
  </cols>
  <sheetData>
    <row r="1" spans="1:5" ht="24" customHeight="1" x14ac:dyDescent="0.3">
      <c r="A1" s="6" t="s">
        <v>31</v>
      </c>
      <c r="B1" s="6"/>
      <c r="C1" s="6"/>
      <c r="D1" s="6"/>
      <c r="E1" s="6"/>
    </row>
    <row r="2" spans="1:5" x14ac:dyDescent="0.3">
      <c r="A2" s="3" t="s">
        <v>32</v>
      </c>
      <c r="B2" s="3"/>
      <c r="C2" s="3"/>
      <c r="D2" s="3"/>
      <c r="E2" s="3"/>
    </row>
    <row r="4" spans="1:5" ht="18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</row>
    <row r="5" spans="1:5" ht="15" customHeight="1" x14ac:dyDescent="0.3">
      <c r="A5" s="4" t="s">
        <v>33</v>
      </c>
      <c r="B5" s="4"/>
      <c r="C5" s="4"/>
      <c r="D5" s="4"/>
      <c r="E5" s="4"/>
    </row>
    <row r="6" spans="1:5" ht="15" customHeight="1" x14ac:dyDescent="0.3">
      <c r="A6" s="8" t="s">
        <v>34</v>
      </c>
      <c r="B6" s="17">
        <f>Assumptions!B6</f>
        <v>21732.58</v>
      </c>
      <c r="C6" s="17">
        <f>Assumptions!C6</f>
        <v>19869.349999999999</v>
      </c>
      <c r="D6" s="18">
        <f>C6*(1+Assumptions!D7)</f>
        <v>20862.817500000001</v>
      </c>
      <c r="E6" s="18">
        <f>D6*(1+Assumptions!E7)</f>
        <v>22531.842900000003</v>
      </c>
    </row>
    <row r="7" spans="1:5" ht="15" customHeight="1" x14ac:dyDescent="0.3">
      <c r="A7" s="8" t="s">
        <v>35</v>
      </c>
      <c r="B7" s="17">
        <f>Assumptions!B8</f>
        <v>1182.55</v>
      </c>
      <c r="C7" s="17">
        <f>Assumptions!C8</f>
        <v>1018.89</v>
      </c>
      <c r="D7" s="18">
        <f>C7*0.95</f>
        <v>967.94549999999992</v>
      </c>
      <c r="E7" s="18">
        <f>D7*0.95</f>
        <v>919.54822499999989</v>
      </c>
    </row>
    <row r="8" spans="1:5" ht="15" customHeight="1" x14ac:dyDescent="0.3">
      <c r="A8" s="19" t="s">
        <v>36</v>
      </c>
      <c r="B8" s="20">
        <f>SUM(B6:B7)</f>
        <v>22915.13</v>
      </c>
      <c r="C8" s="20">
        <f>SUM(C6:C7)</f>
        <v>20888.239999999998</v>
      </c>
      <c r="D8" s="20">
        <f>SUM(D6:D7)</f>
        <v>21830.763000000003</v>
      </c>
      <c r="E8" s="20">
        <f>SUM(E6:E7)</f>
        <v>23451.391125000002</v>
      </c>
    </row>
    <row r="9" spans="1:5" ht="15" customHeight="1" x14ac:dyDescent="0.3">
      <c r="A9" s="4" t="s">
        <v>37</v>
      </c>
      <c r="B9" s="4"/>
      <c r="C9" s="4"/>
      <c r="D9" s="4"/>
      <c r="E9" s="4"/>
    </row>
    <row r="10" spans="1:5" ht="15" customHeight="1" x14ac:dyDescent="0.3">
      <c r="A10" s="8" t="s">
        <v>38</v>
      </c>
      <c r="B10" s="9">
        <v>20041.240000000002</v>
      </c>
      <c r="C10" s="9">
        <v>18385.2</v>
      </c>
      <c r="D10" s="18">
        <f>D6*(C10/C6)</f>
        <v>19304.460000000003</v>
      </c>
      <c r="E10" s="18">
        <f>E6*(C10/C6)</f>
        <v>20848.816800000004</v>
      </c>
    </row>
    <row r="11" spans="1:5" ht="15" customHeight="1" x14ac:dyDescent="0.3">
      <c r="A11" s="8" t="s">
        <v>39</v>
      </c>
      <c r="B11" s="17">
        <f>Assumptions!B10</f>
        <v>184.18</v>
      </c>
      <c r="C11" s="17">
        <f>Assumptions!C10</f>
        <v>182.98</v>
      </c>
      <c r="D11" s="18">
        <f>C11*(1+Assumptions!D11)</f>
        <v>190.29919999999998</v>
      </c>
      <c r="E11" s="18">
        <f>D11*(1+Assumptions!E11)</f>
        <v>197.911168</v>
      </c>
    </row>
    <row r="12" spans="1:5" ht="15" customHeight="1" x14ac:dyDescent="0.3">
      <c r="A12" s="8" t="s">
        <v>40</v>
      </c>
      <c r="B12" s="17">
        <f>Assumptions!B12</f>
        <v>568.49</v>
      </c>
      <c r="C12" s="17">
        <f>Assumptions!C12</f>
        <v>539.51</v>
      </c>
      <c r="D12" s="18">
        <f>C12*(1+Assumptions!D13)</f>
        <v>512.53449999999998</v>
      </c>
      <c r="E12" s="18">
        <f>D12*(1+Assumptions!E13)</f>
        <v>486.90777499999996</v>
      </c>
    </row>
    <row r="13" spans="1:5" ht="15" customHeight="1" x14ac:dyDescent="0.3">
      <c r="A13" s="8" t="s">
        <v>41</v>
      </c>
      <c r="B13" s="17">
        <f>Assumptions!B14</f>
        <v>20.82</v>
      </c>
      <c r="C13" s="17">
        <f>Assumptions!C14</f>
        <v>30.6</v>
      </c>
      <c r="D13" s="18">
        <f>C13*(1+Assumptions!D15)</f>
        <v>33.048000000000002</v>
      </c>
      <c r="E13" s="18">
        <f>D13*(1+Assumptions!E15)</f>
        <v>35.691840000000006</v>
      </c>
    </row>
    <row r="14" spans="1:5" ht="15" customHeight="1" x14ac:dyDescent="0.3">
      <c r="A14" s="8" t="s">
        <v>42</v>
      </c>
      <c r="B14" s="17">
        <f>Assumptions!B16</f>
        <v>161</v>
      </c>
      <c r="C14" s="17">
        <f>Assumptions!C16</f>
        <v>199.78</v>
      </c>
      <c r="D14" s="18">
        <f>C14*(1+Assumptions!D17)</f>
        <v>209.76900000000001</v>
      </c>
      <c r="E14" s="18">
        <f>D14*(1+Assumptions!E17)</f>
        <v>220.25745000000001</v>
      </c>
    </row>
    <row r="15" spans="1:5" ht="15" customHeight="1" x14ac:dyDescent="0.3">
      <c r="A15" s="19" t="s">
        <v>43</v>
      </c>
      <c r="B15" s="20">
        <f>SUM(B10:B14)</f>
        <v>20975.730000000003</v>
      </c>
      <c r="C15" s="20">
        <f>SUM(C10:C14)</f>
        <v>19338.069999999996</v>
      </c>
      <c r="D15" s="20">
        <f>SUM(D10:D14)</f>
        <v>20250.110700000005</v>
      </c>
      <c r="E15" s="20">
        <f>SUM(E10:E14)</f>
        <v>21789.585033000003</v>
      </c>
    </row>
    <row r="16" spans="1:5" ht="15" customHeight="1" x14ac:dyDescent="0.3">
      <c r="A16" s="4" t="s">
        <v>44</v>
      </c>
      <c r="B16" s="4"/>
      <c r="C16" s="4"/>
      <c r="D16" s="4"/>
      <c r="E16" s="4"/>
    </row>
    <row r="17" spans="1:5" ht="15" customHeight="1" x14ac:dyDescent="0.3">
      <c r="A17" s="19" t="s">
        <v>45</v>
      </c>
      <c r="B17" s="21">
        <f>B8-B10-B11-B14</f>
        <v>2528.7099999999996</v>
      </c>
      <c r="C17" s="21">
        <f>C8-C10-C11-C14</f>
        <v>2120.279999999997</v>
      </c>
      <c r="D17" s="21">
        <f>D8-D10-D11-D14</f>
        <v>2126.2348000000002</v>
      </c>
      <c r="E17" s="21">
        <f>E8-E10-E11-E14</f>
        <v>2184.4057069999976</v>
      </c>
    </row>
    <row r="18" spans="1:5" ht="15" customHeight="1" x14ac:dyDescent="0.3">
      <c r="A18" s="8" t="s">
        <v>46</v>
      </c>
      <c r="B18" s="22">
        <f>B17/B6</f>
        <v>0.11635572030564247</v>
      </c>
      <c r="C18" s="22">
        <f>C17/C6</f>
        <v>0.10671109019670987</v>
      </c>
      <c r="D18" s="22">
        <f>D17/D6</f>
        <v>0.10191503616421896</v>
      </c>
      <c r="E18" s="22">
        <f>E17/E6</f>
        <v>9.6947494117314181E-2</v>
      </c>
    </row>
    <row r="19" spans="1:5" ht="15" customHeight="1" x14ac:dyDescent="0.3">
      <c r="A19" s="19" t="s">
        <v>47</v>
      </c>
      <c r="B19" s="20">
        <f>B8-B15</f>
        <v>1939.3999999999978</v>
      </c>
      <c r="C19" s="20">
        <f>C8-C15</f>
        <v>1550.1700000000019</v>
      </c>
      <c r="D19" s="20">
        <f>D8-D15</f>
        <v>1580.6522999999979</v>
      </c>
      <c r="E19" s="20">
        <f>E8-E15</f>
        <v>1661.8060919999989</v>
      </c>
    </row>
    <row r="20" spans="1:5" ht="15" customHeight="1" x14ac:dyDescent="0.3">
      <c r="A20" s="8" t="s">
        <v>48</v>
      </c>
      <c r="B20" s="22">
        <f>B19/B6</f>
        <v>8.9239289582736969E-2</v>
      </c>
      <c r="C20" s="22">
        <f>C19/C6</f>
        <v>7.8018153588315778E-2</v>
      </c>
      <c r="D20" s="22">
        <f>D19/D6</f>
        <v>7.5764086034879899E-2</v>
      </c>
      <c r="E20" s="22">
        <f>E19/E6</f>
        <v>7.3753669390265397E-2</v>
      </c>
    </row>
    <row r="21" spans="1:5" ht="15" customHeight="1" x14ac:dyDescent="0.3">
      <c r="A21" s="8" t="s">
        <v>49</v>
      </c>
      <c r="B21" s="9">
        <v>476.45</v>
      </c>
      <c r="C21" s="9">
        <v>361.55</v>
      </c>
      <c r="D21" s="18">
        <f>D19*Assumptions!D18</f>
        <v>368.29198589999953</v>
      </c>
      <c r="E21" s="18">
        <f>E19*Assumptions!E18</f>
        <v>387.20081943599979</v>
      </c>
    </row>
    <row r="22" spans="1:5" ht="15" customHeight="1" x14ac:dyDescent="0.3">
      <c r="A22" s="19" t="s">
        <v>50</v>
      </c>
      <c r="B22" s="20">
        <f>B19-B21</f>
        <v>1462.9499999999978</v>
      </c>
      <c r="C22" s="20">
        <f>C19-C21</f>
        <v>1188.6200000000019</v>
      </c>
      <c r="D22" s="20">
        <f>D19-D21</f>
        <v>1212.3603140999985</v>
      </c>
      <c r="E22" s="20">
        <f>E19-E21</f>
        <v>1274.6052725639991</v>
      </c>
    </row>
    <row r="23" spans="1:5" ht="15" customHeight="1" x14ac:dyDescent="0.3">
      <c r="A23" s="8" t="s">
        <v>51</v>
      </c>
      <c r="B23" s="22">
        <f>B22/B6</f>
        <v>6.7315983652193975E-2</v>
      </c>
      <c r="C23" s="22">
        <f>C22/C6</f>
        <v>5.9821785815842091E-2</v>
      </c>
      <c r="D23" s="22">
        <f>D22/D6</f>
        <v>5.8111053988752881E-2</v>
      </c>
      <c r="E23" s="22">
        <f>E22/E6</f>
        <v>5.6569064422333552E-2</v>
      </c>
    </row>
    <row r="24" spans="1:5" ht="15" customHeight="1" x14ac:dyDescent="0.3">
      <c r="A24" s="8" t="s">
        <v>52</v>
      </c>
      <c r="B24" s="9">
        <v>0.24</v>
      </c>
      <c r="C24" s="9">
        <v>7.77</v>
      </c>
      <c r="D24" s="9">
        <v>5</v>
      </c>
      <c r="E24" s="9">
        <v>5</v>
      </c>
    </row>
    <row r="25" spans="1:5" ht="15" customHeight="1" x14ac:dyDescent="0.3">
      <c r="A25" s="19" t="s">
        <v>53</v>
      </c>
      <c r="B25" s="20">
        <f>B22+B24</f>
        <v>1463.1899999999978</v>
      </c>
      <c r="C25" s="20">
        <f>C22+C24</f>
        <v>1196.3900000000019</v>
      </c>
      <c r="D25" s="20">
        <f>D22+D24</f>
        <v>1217.3603140999985</v>
      </c>
      <c r="E25" s="20">
        <f>E22+E24</f>
        <v>1279.6052725639991</v>
      </c>
    </row>
    <row r="26" spans="1:5" ht="15" customHeight="1" x14ac:dyDescent="0.3">
      <c r="A26" s="4" t="s">
        <v>54</v>
      </c>
      <c r="B26" s="4"/>
      <c r="C26" s="4"/>
      <c r="D26" s="4"/>
      <c r="E26" s="4"/>
    </row>
    <row r="27" spans="1:5" ht="15" customHeight="1" x14ac:dyDescent="0.3">
      <c r="A27" s="8" t="s">
        <v>55</v>
      </c>
      <c r="B27" s="23">
        <v>7.0164791217120701</v>
      </c>
      <c r="C27" s="23">
        <v>5.7007603907511504</v>
      </c>
      <c r="D27" s="24">
        <f>D22*10000000/2085020100</f>
        <v>5.8146217108410534</v>
      </c>
      <c r="E27" s="24">
        <f>E22*10000000/2085020100</f>
        <v>6.1131558039368494</v>
      </c>
    </row>
    <row r="28" spans="1:5" ht="15" customHeight="1" x14ac:dyDescent="0.3">
      <c r="A28" s="8" t="s">
        <v>56</v>
      </c>
      <c r="B28" s="23">
        <v>2.11</v>
      </c>
      <c r="C28" s="23">
        <v>1.72</v>
      </c>
      <c r="D28" s="23">
        <v>1.72</v>
      </c>
      <c r="E28" s="23">
        <v>1.92</v>
      </c>
    </row>
  </sheetData>
  <mergeCells count="6">
    <mergeCell ref="A26:E26"/>
    <mergeCell ref="A1:E1"/>
    <mergeCell ref="A2:E2"/>
    <mergeCell ref="A5:E5"/>
    <mergeCell ref="A9:E9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E1"/>
    </sheetView>
  </sheetViews>
  <sheetFormatPr defaultColWidth="8.6640625" defaultRowHeight="14.4" x14ac:dyDescent="0.3"/>
  <cols>
    <col min="1" max="1" width="38" customWidth="1"/>
    <col min="2" max="5" width="14" customWidth="1"/>
  </cols>
  <sheetData>
    <row r="1" spans="1:5" ht="24" customHeight="1" x14ac:dyDescent="0.3">
      <c r="A1" s="6" t="s">
        <v>57</v>
      </c>
      <c r="B1" s="6"/>
      <c r="C1" s="6"/>
      <c r="D1" s="6"/>
      <c r="E1" s="6"/>
    </row>
    <row r="2" spans="1:5" x14ac:dyDescent="0.3">
      <c r="A2" s="3" t="s">
        <v>58</v>
      </c>
      <c r="B2" s="3"/>
      <c r="C2" s="3"/>
      <c r="D2" s="3"/>
      <c r="E2" s="3"/>
    </row>
    <row r="4" spans="1:5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</row>
    <row r="5" spans="1:5" ht="15" customHeight="1" x14ac:dyDescent="0.3">
      <c r="A5" s="4" t="s">
        <v>59</v>
      </c>
      <c r="B5" s="4"/>
      <c r="C5" s="4"/>
      <c r="D5" s="4"/>
      <c r="E5" s="4"/>
    </row>
    <row r="6" spans="1:5" ht="15" customHeight="1" x14ac:dyDescent="0.3">
      <c r="A6" s="2" t="s">
        <v>60</v>
      </c>
      <c r="B6" s="2"/>
      <c r="C6" s="2"/>
      <c r="D6" s="2"/>
      <c r="E6" s="2"/>
    </row>
    <row r="7" spans="1:5" ht="15" customHeight="1" x14ac:dyDescent="0.3">
      <c r="A7" s="25" t="s">
        <v>61</v>
      </c>
      <c r="B7" s="9">
        <v>28.62</v>
      </c>
      <c r="C7" s="9">
        <v>537.21</v>
      </c>
      <c r="D7" s="18">
        <f>C7+Assumptions!D23-'Income Statement'!D13</f>
        <v>976.16200000000003</v>
      </c>
      <c r="E7" s="18">
        <f>D7+Assumptions!E23-'Income Statement'!E13</f>
        <v>1340.4701600000001</v>
      </c>
    </row>
    <row r="8" spans="1:5" ht="15" customHeight="1" x14ac:dyDescent="0.3">
      <c r="A8" s="25" t="s">
        <v>62</v>
      </c>
      <c r="B8" s="9">
        <v>328.88</v>
      </c>
      <c r="C8" s="9">
        <v>346.13</v>
      </c>
      <c r="D8" s="9">
        <v>330</v>
      </c>
      <c r="E8" s="9">
        <v>315</v>
      </c>
    </row>
    <row r="9" spans="1:5" ht="15" customHeight="1" x14ac:dyDescent="0.3">
      <c r="A9" s="25" t="s">
        <v>63</v>
      </c>
      <c r="B9" s="9">
        <v>1610.75</v>
      </c>
      <c r="C9" s="9">
        <v>1764.13</v>
      </c>
      <c r="D9" s="9">
        <v>1900</v>
      </c>
      <c r="E9" s="9">
        <v>2000</v>
      </c>
    </row>
    <row r="10" spans="1:5" ht="15" customHeight="1" x14ac:dyDescent="0.3">
      <c r="A10" s="25" t="s">
        <v>64</v>
      </c>
      <c r="B10" s="9">
        <v>4492.3599999999997</v>
      </c>
      <c r="C10" s="9">
        <v>3992.85</v>
      </c>
      <c r="D10" s="9">
        <v>3500</v>
      </c>
      <c r="E10" s="9">
        <v>3000</v>
      </c>
    </row>
    <row r="11" spans="1:5" ht="15" customHeight="1" x14ac:dyDescent="0.3">
      <c r="A11" s="25" t="s">
        <v>65</v>
      </c>
      <c r="B11" s="9">
        <v>2512.3200000000002</v>
      </c>
      <c r="C11" s="9">
        <v>1375.37</v>
      </c>
      <c r="D11" s="9">
        <v>1300</v>
      </c>
      <c r="E11" s="9">
        <v>1250</v>
      </c>
    </row>
    <row r="12" spans="1:5" ht="15" customHeight="1" x14ac:dyDescent="0.3">
      <c r="A12" s="19" t="s">
        <v>66</v>
      </c>
      <c r="B12" s="20">
        <f>SUM(B7:B11)</f>
        <v>8972.93</v>
      </c>
      <c r="C12" s="20">
        <f>SUM(C7:C11)</f>
        <v>8015.69</v>
      </c>
      <c r="D12" s="20">
        <f>SUM(D7:D11)</f>
        <v>8006.1620000000003</v>
      </c>
      <c r="E12" s="20">
        <f>SUM(E7:E11)</f>
        <v>7905.4701599999999</v>
      </c>
    </row>
    <row r="13" spans="1:5" ht="15" customHeight="1" x14ac:dyDescent="0.3">
      <c r="A13" s="1" t="s">
        <v>67</v>
      </c>
      <c r="B13" s="1"/>
      <c r="C13" s="1"/>
      <c r="D13" s="1"/>
      <c r="E13" s="1"/>
    </row>
    <row r="14" spans="1:5" ht="15" customHeight="1" x14ac:dyDescent="0.3">
      <c r="A14" s="25" t="s">
        <v>68</v>
      </c>
      <c r="B14" s="9">
        <v>1106.48</v>
      </c>
      <c r="C14" s="9">
        <v>1489.51</v>
      </c>
      <c r="D14" s="18">
        <f>'Income Statement'!D6/365*Assumptions!D22</f>
        <v>14289.601027397261</v>
      </c>
      <c r="E14" s="18">
        <f>'Income Statement'!E6/365*Assumptions!E22</f>
        <v>13580.836816438359</v>
      </c>
    </row>
    <row r="15" spans="1:5" ht="15" customHeight="1" x14ac:dyDescent="0.3">
      <c r="A15" s="25" t="s">
        <v>69</v>
      </c>
      <c r="B15" s="9">
        <v>1027.49</v>
      </c>
      <c r="C15" s="9">
        <v>3044.8</v>
      </c>
      <c r="D15" s="17">
        <f>'Cash Flow'!D25</f>
        <v>0</v>
      </c>
      <c r="E15" s="17">
        <f>'Cash Flow'!E25</f>
        <v>0</v>
      </c>
    </row>
    <row r="16" spans="1:5" ht="15" customHeight="1" x14ac:dyDescent="0.3">
      <c r="A16" s="25" t="s">
        <v>70</v>
      </c>
      <c r="B16" s="9">
        <v>7532.63</v>
      </c>
      <c r="C16" s="9">
        <v>6938.19</v>
      </c>
      <c r="D16" s="9">
        <v>6600</v>
      </c>
      <c r="E16" s="9">
        <v>6300</v>
      </c>
    </row>
    <row r="17" spans="1:5" ht="15" customHeight="1" x14ac:dyDescent="0.3">
      <c r="A17" s="19" t="s">
        <v>71</v>
      </c>
      <c r="B17" s="20">
        <f>SUM(B14:B16)</f>
        <v>9666.6</v>
      </c>
      <c r="C17" s="20">
        <f>SUM(C14:C16)</f>
        <v>11472.5</v>
      </c>
      <c r="D17" s="20">
        <f>SUM(D14:D16)</f>
        <v>20889.601027397261</v>
      </c>
      <c r="E17" s="20">
        <f>SUM(E14:E16)</f>
        <v>19880.836816438357</v>
      </c>
    </row>
    <row r="18" spans="1:5" ht="15" customHeight="1" x14ac:dyDescent="0.3">
      <c r="A18" s="19" t="s">
        <v>72</v>
      </c>
      <c r="B18" s="26">
        <f>B12+B17</f>
        <v>18639.53</v>
      </c>
      <c r="C18" s="26">
        <f>C12+C17</f>
        <v>19488.189999999999</v>
      </c>
      <c r="D18" s="26">
        <f>D12+D17</f>
        <v>28895.763027397261</v>
      </c>
      <c r="E18" s="26">
        <f>E12+E17</f>
        <v>27786.306976438358</v>
      </c>
    </row>
    <row r="19" spans="1:5" ht="15" customHeight="1" x14ac:dyDescent="0.3">
      <c r="A19" s="4" t="s">
        <v>73</v>
      </c>
      <c r="B19" s="4"/>
      <c r="C19" s="4"/>
      <c r="D19" s="4"/>
      <c r="E19" s="4"/>
    </row>
    <row r="20" spans="1:5" ht="15" customHeight="1" x14ac:dyDescent="0.3">
      <c r="A20" s="1" t="s">
        <v>74</v>
      </c>
      <c r="B20" s="1"/>
      <c r="C20" s="1"/>
      <c r="D20" s="1"/>
      <c r="E20" s="1"/>
    </row>
    <row r="21" spans="1:5" ht="15" customHeight="1" x14ac:dyDescent="0.3">
      <c r="A21" s="25" t="s">
        <v>75</v>
      </c>
      <c r="B21" s="9">
        <v>2085.02</v>
      </c>
      <c r="C21" s="9">
        <v>2085.02</v>
      </c>
      <c r="D21" s="9">
        <v>2085.02</v>
      </c>
      <c r="E21" s="9">
        <v>2085.02</v>
      </c>
    </row>
    <row r="22" spans="1:5" ht="15" customHeight="1" x14ac:dyDescent="0.3">
      <c r="A22" s="25" t="s">
        <v>76</v>
      </c>
      <c r="B22" s="9">
        <v>5782.26</v>
      </c>
      <c r="C22" s="9">
        <v>6538.7</v>
      </c>
      <c r="D22" s="18">
        <f>C22+'Income Statement'!D22+'Income Statement'!D24-Assumptions!D25</f>
        <v>7756.0603140999983</v>
      </c>
      <c r="E22" s="18">
        <f>D22+'Income Statement'!E22+'Income Statement'!E24-Assumptions!E25</f>
        <v>9035.6655866639976</v>
      </c>
    </row>
    <row r="23" spans="1:5" ht="15" customHeight="1" x14ac:dyDescent="0.3">
      <c r="A23" s="19" t="s">
        <v>77</v>
      </c>
      <c r="B23" s="20">
        <f>B21+B22</f>
        <v>7867.2800000000007</v>
      </c>
      <c r="C23" s="20">
        <f>C21+C22</f>
        <v>8623.7199999999993</v>
      </c>
      <c r="D23" s="20">
        <f>D21+D22</f>
        <v>9841.0803140999978</v>
      </c>
      <c r="E23" s="20">
        <f>E21+E22</f>
        <v>11120.685586663998</v>
      </c>
    </row>
    <row r="24" spans="1:5" ht="15" customHeight="1" x14ac:dyDescent="0.3">
      <c r="A24" s="1" t="s">
        <v>78</v>
      </c>
      <c r="B24" s="1"/>
      <c r="C24" s="1"/>
      <c r="D24" s="1"/>
      <c r="E24" s="1"/>
    </row>
    <row r="25" spans="1:5" ht="15" customHeight="1" x14ac:dyDescent="0.3">
      <c r="A25" s="25" t="s">
        <v>79</v>
      </c>
      <c r="B25" s="9">
        <v>5515.77</v>
      </c>
      <c r="C25" s="9">
        <v>4889.51</v>
      </c>
      <c r="D25" s="18">
        <f>C25-Assumptions!D24</f>
        <v>4530.8900000000003</v>
      </c>
      <c r="E25" s="18">
        <f>D25-Assumptions!E24</f>
        <v>4130.8900000000003</v>
      </c>
    </row>
    <row r="26" spans="1:5" ht="15" customHeight="1" x14ac:dyDescent="0.3">
      <c r="A26" s="25" t="s">
        <v>80</v>
      </c>
      <c r="B26" s="9">
        <v>769.31</v>
      </c>
      <c r="C26" s="9">
        <v>362.99</v>
      </c>
      <c r="D26" s="9">
        <v>340</v>
      </c>
      <c r="E26" s="9">
        <v>320</v>
      </c>
    </row>
    <row r="27" spans="1:5" ht="15" customHeight="1" x14ac:dyDescent="0.3">
      <c r="A27" s="19" t="s">
        <v>81</v>
      </c>
      <c r="B27" s="20">
        <f>B25+B26</f>
        <v>6285.08</v>
      </c>
      <c r="C27" s="20">
        <f>C25+C26</f>
        <v>5252.5</v>
      </c>
      <c r="D27" s="20">
        <f>D25+D26</f>
        <v>4870.8900000000003</v>
      </c>
      <c r="E27" s="20">
        <f>E25+E26</f>
        <v>4450.8900000000003</v>
      </c>
    </row>
    <row r="28" spans="1:5" ht="15" customHeight="1" x14ac:dyDescent="0.3">
      <c r="A28" s="1" t="s">
        <v>82</v>
      </c>
      <c r="B28" s="1"/>
      <c r="C28" s="1"/>
      <c r="D28" s="1"/>
      <c r="E28" s="1"/>
    </row>
    <row r="29" spans="1:5" ht="15" customHeight="1" x14ac:dyDescent="0.3">
      <c r="A29" s="25" t="s">
        <v>83</v>
      </c>
      <c r="B29" s="9">
        <v>472</v>
      </c>
      <c r="C29" s="9">
        <v>499.51</v>
      </c>
      <c r="D29" s="9">
        <v>472</v>
      </c>
      <c r="E29" s="9">
        <v>400</v>
      </c>
    </row>
    <row r="30" spans="1:5" ht="15" customHeight="1" x14ac:dyDescent="0.3">
      <c r="A30" s="25" t="s">
        <v>84</v>
      </c>
      <c r="B30" s="9">
        <v>252.4</v>
      </c>
      <c r="C30" s="9">
        <v>344.87</v>
      </c>
      <c r="D30" s="9">
        <v>360</v>
      </c>
      <c r="E30" s="9">
        <v>375</v>
      </c>
    </row>
    <row r="31" spans="1:5" ht="15" customHeight="1" x14ac:dyDescent="0.3">
      <c r="A31" s="25" t="s">
        <v>85</v>
      </c>
      <c r="B31" s="9">
        <v>3858.1</v>
      </c>
      <c r="C31" s="9">
        <v>4763.6099999999997</v>
      </c>
      <c r="D31" s="9">
        <v>4800</v>
      </c>
      <c r="E31" s="9">
        <v>4850</v>
      </c>
    </row>
    <row r="32" spans="1:5" ht="15" customHeight="1" x14ac:dyDescent="0.3">
      <c r="A32" s="19" t="s">
        <v>86</v>
      </c>
      <c r="B32" s="20">
        <f>SUM(B29:B31)</f>
        <v>4582.5</v>
      </c>
      <c r="C32" s="20">
        <f>SUM(C29:C31)</f>
        <v>5607.99</v>
      </c>
      <c r="D32" s="20">
        <f>SUM(D29:D31)</f>
        <v>5632</v>
      </c>
      <c r="E32" s="20">
        <f>SUM(E29:E31)</f>
        <v>5625</v>
      </c>
    </row>
    <row r="33" spans="1:5" ht="15" customHeight="1" x14ac:dyDescent="0.3">
      <c r="A33" s="19" t="s">
        <v>87</v>
      </c>
      <c r="B33" s="27">
        <f>B23+B27+B32</f>
        <v>18734.86</v>
      </c>
      <c r="C33" s="27">
        <f>C23+C27+C32</f>
        <v>19484.21</v>
      </c>
      <c r="D33" s="27">
        <f>D23+D27+D32</f>
        <v>20343.970314099999</v>
      </c>
      <c r="E33" s="27">
        <f>E23+E27+E32</f>
        <v>21196.575586663999</v>
      </c>
    </row>
    <row r="34" spans="1:5" ht="15" customHeight="1" x14ac:dyDescent="0.3">
      <c r="A34" s="8" t="s">
        <v>88</v>
      </c>
      <c r="B34" s="28">
        <f>B18-B33</f>
        <v>-95.330000000001746</v>
      </c>
      <c r="C34" s="28">
        <f>C18-C33</f>
        <v>3.9799999999995634</v>
      </c>
      <c r="D34" s="28">
        <f>D18-D33</f>
        <v>8551.7927132972618</v>
      </c>
      <c r="E34" s="28">
        <f>E18-E33</f>
        <v>6589.7313897743588</v>
      </c>
    </row>
  </sheetData>
  <mergeCells count="9">
    <mergeCell ref="A19:E19"/>
    <mergeCell ref="A20:E20"/>
    <mergeCell ref="A24:E24"/>
    <mergeCell ref="A28:E28"/>
    <mergeCell ref="A1:E1"/>
    <mergeCell ref="A2:E2"/>
    <mergeCell ref="A5:E5"/>
    <mergeCell ref="A6:E6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E1"/>
    </sheetView>
  </sheetViews>
  <sheetFormatPr defaultColWidth="8.6640625" defaultRowHeight="14.4" x14ac:dyDescent="0.3"/>
  <cols>
    <col min="1" max="1" width="42" customWidth="1"/>
    <col min="2" max="5" width="14" customWidth="1"/>
  </cols>
  <sheetData>
    <row r="1" spans="1:5" ht="24" customHeight="1" x14ac:dyDescent="0.3">
      <c r="A1" s="6" t="s">
        <v>89</v>
      </c>
      <c r="B1" s="6"/>
      <c r="C1" s="6"/>
      <c r="D1" s="6"/>
      <c r="E1" s="6"/>
    </row>
    <row r="2" spans="1:5" x14ac:dyDescent="0.3">
      <c r="A2" s="3" t="s">
        <v>90</v>
      </c>
      <c r="B2" s="3"/>
      <c r="C2" s="3"/>
      <c r="D2" s="3"/>
      <c r="E2" s="3"/>
    </row>
    <row r="4" spans="1:5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</row>
    <row r="5" spans="1:5" ht="15" customHeight="1" x14ac:dyDescent="0.3">
      <c r="A5" s="4" t="s">
        <v>91</v>
      </c>
      <c r="B5" s="4"/>
      <c r="C5" s="4"/>
      <c r="D5" s="4"/>
      <c r="E5" s="4"/>
    </row>
    <row r="6" spans="1:5" ht="15" customHeight="1" x14ac:dyDescent="0.3">
      <c r="A6" s="8" t="s">
        <v>92</v>
      </c>
      <c r="B6" s="17">
        <f>'Income Statement'!B19</f>
        <v>1939.3999999999978</v>
      </c>
      <c r="C6" s="17">
        <f>'Income Statement'!C19</f>
        <v>1550.1700000000019</v>
      </c>
      <c r="D6" s="17">
        <f>'Income Statement'!D19</f>
        <v>1580.6522999999979</v>
      </c>
      <c r="E6" s="17">
        <f>'Income Statement'!E19</f>
        <v>1661.8060919999989</v>
      </c>
    </row>
    <row r="7" spans="1:5" ht="15" customHeight="1" x14ac:dyDescent="0.3">
      <c r="A7" s="8" t="s">
        <v>93</v>
      </c>
      <c r="B7" s="17">
        <f>'Income Statement'!B13</f>
        <v>20.82</v>
      </c>
      <c r="C7" s="17">
        <f>'Income Statement'!C13</f>
        <v>30.6</v>
      </c>
      <c r="D7" s="17">
        <f>'Income Statement'!D13</f>
        <v>33.048000000000002</v>
      </c>
      <c r="E7" s="17">
        <f>'Income Statement'!E13</f>
        <v>35.691840000000006</v>
      </c>
    </row>
    <row r="8" spans="1:5" ht="15" customHeight="1" x14ac:dyDescent="0.3">
      <c r="A8" s="8" t="s">
        <v>94</v>
      </c>
      <c r="B8" s="17">
        <f>'Income Statement'!B12</f>
        <v>568.49</v>
      </c>
      <c r="C8" s="17">
        <f>'Income Statement'!C12</f>
        <v>539.51</v>
      </c>
      <c r="D8" s="17">
        <f>'Income Statement'!D12</f>
        <v>512.53449999999998</v>
      </c>
      <c r="E8" s="17">
        <f>'Income Statement'!E12</f>
        <v>486.90777499999996</v>
      </c>
    </row>
    <row r="9" spans="1:5" ht="15" customHeight="1" x14ac:dyDescent="0.3">
      <c r="A9" s="8" t="s">
        <v>95</v>
      </c>
      <c r="B9" s="9">
        <v>-1063.32</v>
      </c>
      <c r="C9" s="9">
        <v>-874.53</v>
      </c>
      <c r="D9" s="9">
        <v>-850</v>
      </c>
      <c r="E9" s="9">
        <v>-830</v>
      </c>
    </row>
    <row r="10" spans="1:5" ht="15" customHeight="1" x14ac:dyDescent="0.3">
      <c r="A10" s="8" t="s">
        <v>96</v>
      </c>
      <c r="B10" s="9">
        <v>2021.7</v>
      </c>
      <c r="C10" s="9">
        <v>1195.8499999999999</v>
      </c>
      <c r="D10" s="9">
        <v>-200</v>
      </c>
      <c r="E10" s="9">
        <v>-100</v>
      </c>
    </row>
    <row r="11" spans="1:5" ht="15" customHeight="1" x14ac:dyDescent="0.3">
      <c r="A11" s="8" t="s">
        <v>97</v>
      </c>
      <c r="B11" s="9">
        <v>-453.73</v>
      </c>
      <c r="C11" s="9">
        <v>-462.66</v>
      </c>
      <c r="D11" s="9">
        <v>-380</v>
      </c>
      <c r="E11" s="9">
        <v>-360</v>
      </c>
    </row>
    <row r="12" spans="1:5" ht="15" customHeight="1" x14ac:dyDescent="0.3">
      <c r="A12" s="19" t="s">
        <v>98</v>
      </c>
      <c r="B12" s="20">
        <f>SUM(B6:B11)</f>
        <v>3033.3599999999979</v>
      </c>
      <c r="C12" s="20">
        <f>SUM(C6:C11)</f>
        <v>1978.9400000000012</v>
      </c>
      <c r="D12" s="20">
        <f>SUM(D6:D11)</f>
        <v>696.2347999999979</v>
      </c>
      <c r="E12" s="20">
        <f>SUM(E6:E11)</f>
        <v>894.40570699999898</v>
      </c>
    </row>
    <row r="13" spans="1:5" ht="15" customHeight="1" x14ac:dyDescent="0.3">
      <c r="A13" s="4" t="s">
        <v>99</v>
      </c>
      <c r="B13" s="4"/>
      <c r="C13" s="4"/>
      <c r="D13" s="4"/>
      <c r="E13" s="4"/>
    </row>
    <row r="14" spans="1:5" ht="15" customHeight="1" x14ac:dyDescent="0.3">
      <c r="A14" s="8" t="s">
        <v>100</v>
      </c>
      <c r="B14" s="17">
        <f>-Assumptions!B23</f>
        <v>-377.29</v>
      </c>
      <c r="C14" s="17">
        <f>-Assumptions!C23</f>
        <v>-472</v>
      </c>
      <c r="D14" s="17">
        <f>-Assumptions!D23</f>
        <v>-472</v>
      </c>
      <c r="E14" s="17">
        <f>-Assumptions!E23</f>
        <v>-400</v>
      </c>
    </row>
    <row r="15" spans="1:5" ht="15" customHeight="1" x14ac:dyDescent="0.3">
      <c r="A15" s="8" t="s">
        <v>101</v>
      </c>
      <c r="B15" s="9">
        <v>-424.12</v>
      </c>
      <c r="C15" s="9">
        <v>-143.65</v>
      </c>
      <c r="D15" s="9">
        <v>-150</v>
      </c>
      <c r="E15" s="9">
        <v>-150</v>
      </c>
    </row>
    <row r="16" spans="1:5" ht="15" customHeight="1" x14ac:dyDescent="0.3">
      <c r="A16" s="8" t="s">
        <v>102</v>
      </c>
      <c r="B16" s="9">
        <v>310.97000000000003</v>
      </c>
      <c r="C16" s="9">
        <v>905.32</v>
      </c>
      <c r="D16" s="9">
        <v>870</v>
      </c>
      <c r="E16" s="9">
        <v>850</v>
      </c>
    </row>
    <row r="17" spans="1:5" ht="15" customHeight="1" x14ac:dyDescent="0.3">
      <c r="A17" s="8" t="s">
        <v>103</v>
      </c>
      <c r="B17" s="9">
        <v>-967.7</v>
      </c>
      <c r="C17" s="9">
        <v>1251.2</v>
      </c>
      <c r="D17" s="9">
        <v>-200</v>
      </c>
      <c r="E17" s="9">
        <v>-100</v>
      </c>
    </row>
    <row r="18" spans="1:5" ht="15" customHeight="1" x14ac:dyDescent="0.3">
      <c r="A18" s="19" t="s">
        <v>104</v>
      </c>
      <c r="B18" s="20">
        <f>SUM(B14:B17)</f>
        <v>-1458.14</v>
      </c>
      <c r="C18" s="20">
        <f>SUM(C14:C17)</f>
        <v>1540.8700000000001</v>
      </c>
      <c r="D18" s="20">
        <f>SUM(D14:D17)</f>
        <v>48</v>
      </c>
      <c r="E18" s="20">
        <f>SUM(E14:E17)</f>
        <v>200</v>
      </c>
    </row>
    <row r="19" spans="1:5" ht="15" customHeight="1" x14ac:dyDescent="0.3">
      <c r="A19" s="4" t="s">
        <v>105</v>
      </c>
      <c r="B19" s="4"/>
      <c r="C19" s="4"/>
      <c r="D19" s="4"/>
      <c r="E19" s="4"/>
    </row>
    <row r="20" spans="1:5" ht="15" customHeight="1" x14ac:dyDescent="0.3">
      <c r="A20" s="8" t="s">
        <v>106</v>
      </c>
      <c r="B20" s="17">
        <f>-Assumptions!B24</f>
        <v>-439.94</v>
      </c>
      <c r="C20" s="17">
        <f>-Assumptions!C24</f>
        <v>-358.62</v>
      </c>
      <c r="D20" s="17">
        <f>-Assumptions!D24</f>
        <v>-358.62</v>
      </c>
      <c r="E20" s="17">
        <f>-Assumptions!E24</f>
        <v>-400</v>
      </c>
    </row>
    <row r="21" spans="1:5" ht="15" customHeight="1" x14ac:dyDescent="0.3">
      <c r="A21" s="8" t="s">
        <v>107</v>
      </c>
      <c r="B21" s="9">
        <v>-441.52</v>
      </c>
      <c r="C21" s="9">
        <v>-550.19000000000005</v>
      </c>
      <c r="D21" s="9">
        <v>-520</v>
      </c>
      <c r="E21" s="9">
        <v>-490</v>
      </c>
    </row>
    <row r="22" spans="1:5" ht="15" customHeight="1" x14ac:dyDescent="0.3">
      <c r="A22" s="8" t="s">
        <v>108</v>
      </c>
      <c r="B22" s="17">
        <f>-Assumptions!B25</f>
        <v>0</v>
      </c>
      <c r="C22" s="17">
        <f>-Assumptions!C25</f>
        <v>0</v>
      </c>
      <c r="D22" s="17">
        <f>-Assumptions!D25</f>
        <v>0</v>
      </c>
      <c r="E22" s="17">
        <f>-Assumptions!E25</f>
        <v>0</v>
      </c>
    </row>
    <row r="23" spans="1:5" ht="15" customHeight="1" x14ac:dyDescent="0.3">
      <c r="A23" s="19" t="s">
        <v>109</v>
      </c>
      <c r="B23" s="20">
        <f>SUM(B20:B22)</f>
        <v>-881.46</v>
      </c>
      <c r="C23" s="20">
        <f>SUM(C20:C22)</f>
        <v>-908.81000000000006</v>
      </c>
      <c r="D23" s="20">
        <f>SUM(D20:D22)</f>
        <v>-878.62</v>
      </c>
      <c r="E23" s="20">
        <f>SUM(E20:E22)</f>
        <v>-890</v>
      </c>
    </row>
    <row r="24" spans="1:5" ht="15" customHeight="1" x14ac:dyDescent="0.3">
      <c r="A24" s="19" t="s">
        <v>110</v>
      </c>
      <c r="B24" s="20">
        <f>B12+B18+B23</f>
        <v>693.75999999999772</v>
      </c>
      <c r="C24" s="20">
        <f>C12+C18+C23</f>
        <v>2611.0000000000014</v>
      </c>
      <c r="D24" s="20">
        <f>D12+D18+D23</f>
        <v>-134.3852000000021</v>
      </c>
      <c r="E24" s="20">
        <f>E12+E18+E23</f>
        <v>204.40570699999898</v>
      </c>
    </row>
    <row r="25" spans="1:5" ht="15" customHeight="1" x14ac:dyDescent="0.3"/>
    <row r="26" spans="1:5" ht="15" customHeight="1" x14ac:dyDescent="0.3">
      <c r="A26" s="8" t="s">
        <v>111</v>
      </c>
      <c r="B26" s="9">
        <v>807.53</v>
      </c>
      <c r="C26" s="9">
        <v>1027.49</v>
      </c>
      <c r="D26" s="18">
        <f>C27</f>
        <v>3638.4900000000016</v>
      </c>
      <c r="E26" s="18">
        <f>D27</f>
        <v>3504.1047999999996</v>
      </c>
    </row>
    <row r="27" spans="1:5" ht="15" customHeight="1" x14ac:dyDescent="0.3">
      <c r="A27" s="19" t="s">
        <v>112</v>
      </c>
      <c r="B27" s="20">
        <f>B24+B26</f>
        <v>1501.2899999999977</v>
      </c>
      <c r="C27" s="20">
        <f>C24+C26</f>
        <v>3638.4900000000016</v>
      </c>
      <c r="D27" s="20">
        <f>D24+D26</f>
        <v>3504.1047999999996</v>
      </c>
      <c r="E27" s="20">
        <f>E24+E26</f>
        <v>3708.5105069999986</v>
      </c>
    </row>
  </sheetData>
  <mergeCells count="5">
    <mergeCell ref="A1:E1"/>
    <mergeCell ref="A2:E2"/>
    <mergeCell ref="A5:E5"/>
    <mergeCell ref="A13:E13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E1"/>
    </sheetView>
  </sheetViews>
  <sheetFormatPr defaultColWidth="8.6640625" defaultRowHeight="14.4" x14ac:dyDescent="0.3"/>
  <cols>
    <col min="1" max="1" width="36" customWidth="1"/>
    <col min="2" max="5" width="14" customWidth="1"/>
  </cols>
  <sheetData>
    <row r="1" spans="1:5" ht="24" customHeight="1" x14ac:dyDescent="0.3">
      <c r="A1" s="6" t="s">
        <v>113</v>
      </c>
      <c r="B1" s="6"/>
      <c r="C1" s="6"/>
      <c r="D1" s="6"/>
      <c r="E1" s="6"/>
    </row>
    <row r="3" spans="1:5" ht="15" customHeight="1" x14ac:dyDescent="0.3">
      <c r="A3" s="7" t="s">
        <v>114</v>
      </c>
      <c r="B3" s="7" t="s">
        <v>3</v>
      </c>
      <c r="C3" s="7" t="s">
        <v>4</v>
      </c>
      <c r="D3" s="7" t="s">
        <v>5</v>
      </c>
      <c r="E3" s="7" t="s">
        <v>6</v>
      </c>
    </row>
    <row r="4" spans="1:5" ht="15" customHeight="1" x14ac:dyDescent="0.3">
      <c r="A4" s="4" t="s">
        <v>115</v>
      </c>
      <c r="B4" s="4"/>
      <c r="C4" s="4"/>
      <c r="D4" s="4"/>
      <c r="E4" s="4"/>
    </row>
    <row r="5" spans="1:5" ht="15" customHeight="1" x14ac:dyDescent="0.3">
      <c r="A5" s="8" t="s">
        <v>9</v>
      </c>
      <c r="B5" t="s">
        <v>116</v>
      </c>
      <c r="C5" s="22">
        <f>('Income Statement'!C6-'Income Statement'!B6)/'Income Statement'!B6</f>
        <v>-8.5734413493473993E-2</v>
      </c>
      <c r="D5" s="22">
        <f>('Income Statement'!D6-'Income Statement'!C6)/'Income Statement'!C6</f>
        <v>5.0000000000000128E-2</v>
      </c>
      <c r="E5" s="22">
        <f>('Income Statement'!E6-'Income Statement'!D6)/'Income Statement'!D6</f>
        <v>8.0000000000000099E-2</v>
      </c>
    </row>
    <row r="6" spans="1:5" ht="15" customHeight="1" x14ac:dyDescent="0.3">
      <c r="A6" s="8" t="s">
        <v>46</v>
      </c>
      <c r="B6" s="22">
        <f>'Income Statement'!B17/'Income Statement'!B6</f>
        <v>0.11635572030564247</v>
      </c>
      <c r="C6" s="22">
        <f>'Income Statement'!C17/'Income Statement'!C6</f>
        <v>0.10671109019670987</v>
      </c>
      <c r="D6" s="22">
        <f>'Income Statement'!D17/'Income Statement'!D6</f>
        <v>0.10191503616421896</v>
      </c>
      <c r="E6" s="22">
        <f>'Income Statement'!E17/'Income Statement'!E6</f>
        <v>9.6947494117314181E-2</v>
      </c>
    </row>
    <row r="7" spans="1:5" ht="15" customHeight="1" x14ac:dyDescent="0.3">
      <c r="A7" s="8" t="s">
        <v>48</v>
      </c>
      <c r="B7" s="22">
        <f>'Income Statement'!B20</f>
        <v>8.9239289582736969E-2</v>
      </c>
      <c r="C7" s="22">
        <f>'Income Statement'!C20</f>
        <v>7.8018153588315778E-2</v>
      </c>
      <c r="D7" s="22">
        <f>'Income Statement'!D20</f>
        <v>7.5764086034879899E-2</v>
      </c>
      <c r="E7" s="22">
        <f>'Income Statement'!E20</f>
        <v>7.3753669390265397E-2</v>
      </c>
    </row>
    <row r="8" spans="1:5" ht="15" customHeight="1" x14ac:dyDescent="0.3">
      <c r="A8" s="8" t="s">
        <v>51</v>
      </c>
      <c r="B8" s="22">
        <f>'Income Statement'!B23</f>
        <v>6.7315983652193975E-2</v>
      </c>
      <c r="C8" s="22">
        <f>'Income Statement'!C23</f>
        <v>5.9821785815842091E-2</v>
      </c>
      <c r="D8" s="22">
        <f>'Income Statement'!D23</f>
        <v>5.8111053988752881E-2</v>
      </c>
      <c r="E8" s="22">
        <f>'Income Statement'!E23</f>
        <v>5.6569064422333552E-2</v>
      </c>
    </row>
    <row r="9" spans="1:5" ht="15" customHeight="1" x14ac:dyDescent="0.3">
      <c r="A9" s="8" t="s">
        <v>21</v>
      </c>
      <c r="B9" s="22">
        <f>'Income Statement'!B21/'Income Statement'!B19</f>
        <v>0.24566876353511422</v>
      </c>
      <c r="C9" s="22">
        <f>'Income Statement'!C21/'Income Statement'!C19</f>
        <v>0.23323248417915426</v>
      </c>
      <c r="D9" s="22">
        <f>'Income Statement'!D21/'Income Statement'!D19</f>
        <v>0.23300000000000001</v>
      </c>
      <c r="E9" s="22">
        <f>'Income Statement'!E21/'Income Statement'!E19</f>
        <v>0.23300000000000004</v>
      </c>
    </row>
    <row r="10" spans="1:5" ht="15" customHeight="1" x14ac:dyDescent="0.3">
      <c r="A10" s="4" t="s">
        <v>117</v>
      </c>
      <c r="B10" s="4"/>
      <c r="C10" s="4"/>
      <c r="D10" s="4"/>
      <c r="E10" s="4"/>
    </row>
    <row r="11" spans="1:5" ht="15" customHeight="1" x14ac:dyDescent="0.3">
      <c r="A11" s="8" t="s">
        <v>118</v>
      </c>
      <c r="B11" s="29">
        <f>('Balance Sheet'!B25+'Balance Sheet'!B29)/'Balance Sheet'!B23</f>
        <v>0.76109786355640063</v>
      </c>
      <c r="C11" s="29">
        <f>('Balance Sheet'!C25+'Balance Sheet'!C29)/'Balance Sheet'!C23</f>
        <v>0.62490665281340319</v>
      </c>
      <c r="D11" s="29">
        <f>('Balance Sheet'!D25+'Balance Sheet'!D29)/'Balance Sheet'!D23</f>
        <v>0.50836796777605942</v>
      </c>
      <c r="E11" s="29">
        <f>('Balance Sheet'!E25+'Balance Sheet'!E29)/'Balance Sheet'!E23</f>
        <v>0.40742901727511066</v>
      </c>
    </row>
    <row r="12" spans="1:5" ht="15" customHeight="1" x14ac:dyDescent="0.3">
      <c r="A12" s="8" t="s">
        <v>119</v>
      </c>
      <c r="B12" s="29">
        <f>'Income Statement'!B17/'Income Statement'!B12</f>
        <v>4.4481169413709996</v>
      </c>
      <c r="C12" s="29">
        <f>'Income Statement'!C17/'Income Statement'!C12</f>
        <v>3.9300105651424384</v>
      </c>
      <c r="D12" s="29">
        <f>'Income Statement'!D17/'Income Statement'!D12</f>
        <v>4.1484715663043179</v>
      </c>
      <c r="E12" s="29">
        <f>'Income Statement'!E17/'Income Statement'!E12</f>
        <v>4.4862822471873605</v>
      </c>
    </row>
    <row r="13" spans="1:5" ht="15" customHeight="1" x14ac:dyDescent="0.3">
      <c r="A13" s="8" t="s">
        <v>120</v>
      </c>
      <c r="B13" s="18">
        <f>'Balance Sheet'!B25+'Balance Sheet'!B29-'Balance Sheet'!B15</f>
        <v>4960.2800000000007</v>
      </c>
      <c r="C13" s="18">
        <f>'Balance Sheet'!C25+'Balance Sheet'!C29-'Balance Sheet'!C15</f>
        <v>2344.2200000000003</v>
      </c>
      <c r="D13" s="18">
        <f>'Balance Sheet'!D25+'Balance Sheet'!D29-'Balance Sheet'!D15</f>
        <v>5002.8900000000003</v>
      </c>
      <c r="E13" s="18">
        <f>'Balance Sheet'!E25+'Balance Sheet'!E29-'Balance Sheet'!E15</f>
        <v>4530.8900000000003</v>
      </c>
    </row>
    <row r="14" spans="1:5" ht="15" customHeight="1" x14ac:dyDescent="0.3">
      <c r="A14" s="4" t="s">
        <v>121</v>
      </c>
      <c r="B14" s="4"/>
      <c r="C14" s="4"/>
      <c r="D14" s="4"/>
      <c r="E14" s="4"/>
    </row>
    <row r="15" spans="1:5" ht="15" customHeight="1" x14ac:dyDescent="0.3">
      <c r="A15" s="8" t="s">
        <v>122</v>
      </c>
      <c r="B15" s="22">
        <f>'Income Statement'!B22/'Balance Sheet'!B23</f>
        <v>0.18595372225216308</v>
      </c>
      <c r="C15" s="22">
        <f>'Income Statement'!C22/'Balance Sheet'!C23</f>
        <v>0.13783146948184796</v>
      </c>
      <c r="D15" s="22">
        <f>'Income Statement'!D22/'Balance Sheet'!D23</f>
        <v>0.12319382378812271</v>
      </c>
      <c r="E15" s="22">
        <f>'Income Statement'!E22/'Balance Sheet'!E23</f>
        <v>0.11461570985268339</v>
      </c>
    </row>
    <row r="16" spans="1:5" ht="15" customHeight="1" x14ac:dyDescent="0.3">
      <c r="A16" s="8" t="s">
        <v>123</v>
      </c>
      <c r="B16" s="22">
        <f>'Income Statement'!B22/'Balance Sheet'!B18</f>
        <v>7.8486421063191925E-2</v>
      </c>
      <c r="C16" s="22">
        <f>'Income Statement'!C22/'Balance Sheet'!C18</f>
        <v>6.0991810937803974E-2</v>
      </c>
      <c r="D16" s="22">
        <f>'Income Statement'!D22/'Balance Sheet'!D18</f>
        <v>4.195633501529307E-2</v>
      </c>
      <c r="E16" s="22">
        <f>'Income Statement'!E22/'Balance Sheet'!E18</f>
        <v>4.5871704852494852E-2</v>
      </c>
    </row>
    <row r="17" spans="1:5" ht="15" customHeight="1" x14ac:dyDescent="0.3">
      <c r="A17" s="8" t="s">
        <v>55</v>
      </c>
      <c r="B17" s="24">
        <f>'Income Statement'!B27</f>
        <v>7.0164791217120701</v>
      </c>
      <c r="C17" s="24">
        <f>'Income Statement'!C27</f>
        <v>5.7007603907511504</v>
      </c>
      <c r="D17" s="24">
        <f>'Income Statement'!D27</f>
        <v>5.8146217108410534</v>
      </c>
      <c r="E17" s="24">
        <f>'Income Statement'!E27</f>
        <v>6.1131558039368494</v>
      </c>
    </row>
    <row r="18" spans="1:5" ht="15" customHeight="1" x14ac:dyDescent="0.3"/>
  </sheetData>
  <mergeCells count="4">
    <mergeCell ref="A1:E1"/>
    <mergeCell ref="A4:E4"/>
    <mergeCell ref="A10:E10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Income Statement</vt:lpstr>
      <vt:lpstr>Balance Sheet</vt:lpstr>
      <vt:lpstr>Cash Flow</vt:lpstr>
      <vt:lpstr>Key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AKM</dc:creator>
  <dc:description/>
  <cp:lastModifiedBy>Anjani Kumar Mishra</cp:lastModifiedBy>
  <cp:revision>0</cp:revision>
  <dcterms:created xsi:type="dcterms:W3CDTF">2026-03-24T10:12:20Z</dcterms:created>
  <dcterms:modified xsi:type="dcterms:W3CDTF">2026-04-14T08:24:10Z</dcterms:modified>
  <dc:language>en-US</dc:language>
</cp:coreProperties>
</file>