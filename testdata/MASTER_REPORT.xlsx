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a1dd18322395ba2/Documents/GitHub/inakm.github.io/testdata/"/>
    </mc:Choice>
  </mc:AlternateContent>
  <xr:revisionPtr revIDLastSave="4" documentId="11_674BE30FCC397D6A206102DC18518DFFA12CB0D0" xr6:coauthVersionLast="47" xr6:coauthVersionMax="47" xr10:uidLastSave="{84C15CCA-A75F-44D7-8136-EEF4AD83969F}"/>
  <bookViews>
    <workbookView xWindow="-108" yWindow="-108" windowWidth="30936" windowHeight="18696" xr2:uid="{00000000-000D-0000-FFFF-FFFF00000000}"/>
  </bookViews>
  <sheets>
    <sheet name="Sheet 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2" i="1" l="1"/>
  <c r="I472" i="1"/>
  <c r="J471" i="1"/>
  <c r="I471" i="1"/>
  <c r="N471" i="1" s="1"/>
  <c r="J470" i="1"/>
  <c r="I470" i="1"/>
  <c r="J469" i="1"/>
  <c r="I469" i="1"/>
  <c r="N469" i="1" s="1"/>
  <c r="J468" i="1"/>
  <c r="I468" i="1"/>
  <c r="L468" i="1" s="1"/>
  <c r="J467" i="1"/>
  <c r="I467" i="1"/>
  <c r="N467" i="1" s="1"/>
  <c r="J466" i="1"/>
  <c r="I466" i="1"/>
  <c r="J465" i="1"/>
  <c r="I465" i="1"/>
  <c r="J464" i="1"/>
  <c r="I464" i="1"/>
  <c r="J463" i="1"/>
  <c r="I463" i="1"/>
  <c r="N463" i="1" s="1"/>
  <c r="J462" i="1"/>
  <c r="I462" i="1"/>
  <c r="J461" i="1"/>
  <c r="I461" i="1"/>
  <c r="N461" i="1" s="1"/>
  <c r="J460" i="1"/>
  <c r="I460" i="1"/>
  <c r="N460" i="1" s="1"/>
  <c r="J459" i="1"/>
  <c r="I459" i="1"/>
  <c r="N459" i="1" s="1"/>
  <c r="J458" i="1"/>
  <c r="I458" i="1"/>
  <c r="J457" i="1"/>
  <c r="I457" i="1"/>
  <c r="J456" i="1"/>
  <c r="I456" i="1"/>
  <c r="J455" i="1"/>
  <c r="I455" i="1"/>
  <c r="J454" i="1"/>
  <c r="I454" i="1"/>
  <c r="N454" i="1" s="1"/>
  <c r="J453" i="1"/>
  <c r="I453" i="1"/>
  <c r="N453" i="1" s="1"/>
  <c r="J452" i="1"/>
  <c r="I452" i="1"/>
  <c r="L452" i="1" s="1"/>
  <c r="J451" i="1"/>
  <c r="I451" i="1"/>
  <c r="J450" i="1"/>
  <c r="I450" i="1"/>
  <c r="J449" i="1"/>
  <c r="I449" i="1"/>
  <c r="J448" i="1"/>
  <c r="I448" i="1"/>
  <c r="J447" i="1"/>
  <c r="I447" i="1"/>
  <c r="N447" i="1" s="1"/>
  <c r="J446" i="1"/>
  <c r="I446" i="1"/>
  <c r="N446" i="1" s="1"/>
  <c r="J445" i="1"/>
  <c r="I445" i="1"/>
  <c r="K445" i="1" s="1"/>
  <c r="J444" i="1"/>
  <c r="I444" i="1"/>
  <c r="N444" i="1" s="1"/>
  <c r="J443" i="1"/>
  <c r="I443" i="1"/>
  <c r="N443" i="1" s="1"/>
  <c r="J442" i="1"/>
  <c r="I442" i="1"/>
  <c r="N442" i="1" s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N435" i="1" s="1"/>
  <c r="J434" i="1"/>
  <c r="I434" i="1"/>
  <c r="K434" i="1" s="1"/>
  <c r="J433" i="1"/>
  <c r="I433" i="1"/>
  <c r="K433" i="1" s="1"/>
  <c r="J432" i="1"/>
  <c r="I432" i="1"/>
  <c r="L432" i="1" s="1"/>
  <c r="J431" i="1"/>
  <c r="I431" i="1"/>
  <c r="N431" i="1" s="1"/>
  <c r="J430" i="1"/>
  <c r="I430" i="1"/>
  <c r="N430" i="1" s="1"/>
  <c r="J429" i="1"/>
  <c r="I429" i="1"/>
  <c r="N428" i="1"/>
  <c r="J428" i="1"/>
  <c r="L428" i="1" s="1"/>
  <c r="I428" i="1"/>
  <c r="J427" i="1"/>
  <c r="I427" i="1"/>
  <c r="N427" i="1" s="1"/>
  <c r="J426" i="1"/>
  <c r="I426" i="1"/>
  <c r="N426" i="1" s="1"/>
  <c r="J425" i="1"/>
  <c r="I425" i="1"/>
  <c r="J424" i="1"/>
  <c r="I424" i="1"/>
  <c r="J423" i="1"/>
  <c r="I423" i="1"/>
  <c r="N423" i="1" s="1"/>
  <c r="J422" i="1"/>
  <c r="I422" i="1"/>
  <c r="J421" i="1"/>
  <c r="I421" i="1"/>
  <c r="J420" i="1"/>
  <c r="I420" i="1"/>
  <c r="N419" i="1"/>
  <c r="J419" i="1"/>
  <c r="I419" i="1"/>
  <c r="J418" i="1"/>
  <c r="I418" i="1"/>
  <c r="J417" i="1"/>
  <c r="I417" i="1"/>
  <c r="J416" i="1"/>
  <c r="I416" i="1"/>
  <c r="J415" i="1"/>
  <c r="I415" i="1"/>
  <c r="L415" i="1" s="1"/>
  <c r="J414" i="1"/>
  <c r="I414" i="1"/>
  <c r="J413" i="1"/>
  <c r="I413" i="1"/>
  <c r="N413" i="1" s="1"/>
  <c r="J412" i="1"/>
  <c r="I412" i="1"/>
  <c r="N412" i="1" s="1"/>
  <c r="J411" i="1"/>
  <c r="I411" i="1"/>
  <c r="N410" i="1"/>
  <c r="J410" i="1"/>
  <c r="L410" i="1" s="1"/>
  <c r="I410" i="1"/>
  <c r="J409" i="1"/>
  <c r="I409" i="1"/>
  <c r="J408" i="1"/>
  <c r="I408" i="1"/>
  <c r="J407" i="1"/>
  <c r="I407" i="1"/>
  <c r="J406" i="1"/>
  <c r="I406" i="1"/>
  <c r="N406" i="1" s="1"/>
  <c r="J405" i="1"/>
  <c r="I405" i="1"/>
  <c r="N405" i="1" s="1"/>
  <c r="J404" i="1"/>
  <c r="I404" i="1"/>
  <c r="L404" i="1" s="1"/>
  <c r="J403" i="1"/>
  <c r="I403" i="1"/>
  <c r="L403" i="1" s="1"/>
  <c r="J402" i="1"/>
  <c r="I402" i="1"/>
  <c r="J401" i="1"/>
  <c r="I401" i="1"/>
  <c r="J400" i="1"/>
  <c r="I400" i="1"/>
  <c r="J399" i="1"/>
  <c r="K399" i="1" s="1"/>
  <c r="I399" i="1"/>
  <c r="N399" i="1" s="1"/>
  <c r="J398" i="1"/>
  <c r="I398" i="1"/>
  <c r="L398" i="1" s="1"/>
  <c r="J397" i="1"/>
  <c r="I397" i="1"/>
  <c r="J396" i="1"/>
  <c r="I396" i="1"/>
  <c r="N396" i="1" s="1"/>
  <c r="J395" i="1"/>
  <c r="I395" i="1"/>
  <c r="J394" i="1"/>
  <c r="I394" i="1"/>
  <c r="N394" i="1" s="1"/>
  <c r="J393" i="1"/>
  <c r="I393" i="1"/>
  <c r="K393" i="1" s="1"/>
  <c r="J392" i="1"/>
  <c r="I392" i="1"/>
  <c r="J391" i="1"/>
  <c r="I391" i="1"/>
  <c r="N391" i="1" s="1"/>
  <c r="J390" i="1"/>
  <c r="I390" i="1"/>
  <c r="J389" i="1"/>
  <c r="I389" i="1"/>
  <c r="N389" i="1" s="1"/>
  <c r="N388" i="1"/>
  <c r="J388" i="1"/>
  <c r="I388" i="1"/>
  <c r="J387" i="1"/>
  <c r="I387" i="1"/>
  <c r="J386" i="1"/>
  <c r="I386" i="1"/>
  <c r="J385" i="1"/>
  <c r="I385" i="1"/>
  <c r="J384" i="1"/>
  <c r="I384" i="1"/>
  <c r="N384" i="1" s="1"/>
  <c r="J383" i="1"/>
  <c r="I383" i="1"/>
  <c r="N383" i="1" s="1"/>
  <c r="J382" i="1"/>
  <c r="I382" i="1"/>
  <c r="K382" i="1" s="1"/>
  <c r="J381" i="1"/>
  <c r="I381" i="1"/>
  <c r="N381" i="1" s="1"/>
  <c r="J380" i="1"/>
  <c r="I380" i="1"/>
  <c r="N380" i="1" s="1"/>
  <c r="J379" i="1"/>
  <c r="I379" i="1"/>
  <c r="J378" i="1"/>
  <c r="I378" i="1"/>
  <c r="J377" i="1"/>
  <c r="I377" i="1"/>
  <c r="N377" i="1" s="1"/>
  <c r="J376" i="1"/>
  <c r="I376" i="1"/>
  <c r="J375" i="1"/>
  <c r="I375" i="1"/>
  <c r="J374" i="1"/>
  <c r="I374" i="1"/>
  <c r="J373" i="1"/>
  <c r="I373" i="1"/>
  <c r="N373" i="1" s="1"/>
  <c r="J372" i="1"/>
  <c r="I372" i="1"/>
  <c r="N372" i="1" s="1"/>
  <c r="J371" i="1"/>
  <c r="I371" i="1"/>
  <c r="K371" i="1" s="1"/>
  <c r="J370" i="1"/>
  <c r="I370" i="1"/>
  <c r="K370" i="1" s="1"/>
  <c r="J369" i="1"/>
  <c r="I369" i="1"/>
  <c r="J368" i="1"/>
  <c r="I368" i="1"/>
  <c r="J367" i="1"/>
  <c r="I367" i="1"/>
  <c r="N367" i="1" s="1"/>
  <c r="J366" i="1"/>
  <c r="I366" i="1"/>
  <c r="J365" i="1"/>
  <c r="I365" i="1"/>
  <c r="J364" i="1"/>
  <c r="I364" i="1"/>
  <c r="N364" i="1" s="1"/>
  <c r="J363" i="1"/>
  <c r="I363" i="1"/>
  <c r="K363" i="1" s="1"/>
  <c r="J362" i="1"/>
  <c r="H362" i="1"/>
  <c r="I362" i="1" s="1"/>
  <c r="N362" i="1" s="1"/>
  <c r="J361" i="1"/>
  <c r="I361" i="1"/>
  <c r="N361" i="1" s="1"/>
  <c r="J360" i="1"/>
  <c r="I360" i="1"/>
  <c r="N360" i="1" s="1"/>
  <c r="J359" i="1"/>
  <c r="I359" i="1"/>
  <c r="N359" i="1" s="1"/>
  <c r="J358" i="1"/>
  <c r="I358" i="1"/>
  <c r="N358" i="1" s="1"/>
  <c r="J357" i="1"/>
  <c r="I357" i="1"/>
  <c r="J356" i="1"/>
  <c r="I356" i="1"/>
  <c r="N356" i="1" s="1"/>
  <c r="N355" i="1"/>
  <c r="J355" i="1"/>
  <c r="L355" i="1" s="1"/>
  <c r="I355" i="1"/>
  <c r="J354" i="1"/>
  <c r="I354" i="1"/>
  <c r="J353" i="1"/>
  <c r="I353" i="1"/>
  <c r="L353" i="1" s="1"/>
  <c r="J352" i="1"/>
  <c r="I352" i="1"/>
  <c r="N352" i="1" s="1"/>
  <c r="J351" i="1"/>
  <c r="I351" i="1"/>
  <c r="N351" i="1" s="1"/>
  <c r="J350" i="1"/>
  <c r="I350" i="1"/>
  <c r="N350" i="1" s="1"/>
  <c r="J349" i="1"/>
  <c r="I349" i="1"/>
  <c r="N349" i="1" s="1"/>
  <c r="J348" i="1"/>
  <c r="I348" i="1"/>
  <c r="N348" i="1" s="1"/>
  <c r="J347" i="1"/>
  <c r="I347" i="1"/>
  <c r="J346" i="1"/>
  <c r="I346" i="1"/>
  <c r="J345" i="1"/>
  <c r="I345" i="1"/>
  <c r="N345" i="1" s="1"/>
  <c r="J344" i="1"/>
  <c r="I344" i="1"/>
  <c r="N344" i="1" s="1"/>
  <c r="J343" i="1"/>
  <c r="I343" i="1"/>
  <c r="J342" i="1"/>
  <c r="I342" i="1"/>
  <c r="J341" i="1"/>
  <c r="I341" i="1"/>
  <c r="J340" i="1"/>
  <c r="H340" i="1"/>
  <c r="I340" i="1" s="1"/>
  <c r="J339" i="1"/>
  <c r="I339" i="1"/>
  <c r="N339" i="1" s="1"/>
  <c r="J338" i="1"/>
  <c r="I338" i="1"/>
  <c r="J337" i="1"/>
  <c r="H337" i="1"/>
  <c r="I337" i="1" s="1"/>
  <c r="J336" i="1"/>
  <c r="I336" i="1"/>
  <c r="J335" i="1"/>
  <c r="I335" i="1"/>
  <c r="N335" i="1" s="1"/>
  <c r="J334" i="1"/>
  <c r="I334" i="1"/>
  <c r="K334" i="1" s="1"/>
  <c r="N333" i="1"/>
  <c r="J333" i="1"/>
  <c r="I333" i="1"/>
  <c r="J332" i="1"/>
  <c r="I332" i="1"/>
  <c r="J331" i="1"/>
  <c r="I331" i="1"/>
  <c r="J330" i="1"/>
  <c r="H330" i="1"/>
  <c r="I330" i="1" s="1"/>
  <c r="J329" i="1"/>
  <c r="I329" i="1"/>
  <c r="N329" i="1" s="1"/>
  <c r="J328" i="1"/>
  <c r="I328" i="1"/>
  <c r="J327" i="1"/>
  <c r="I327" i="1"/>
  <c r="N327" i="1" s="1"/>
  <c r="J326" i="1"/>
  <c r="I326" i="1"/>
  <c r="L325" i="1"/>
  <c r="K325" i="1"/>
  <c r="J325" i="1"/>
  <c r="I325" i="1"/>
  <c r="N325" i="1" s="1"/>
  <c r="J324" i="1"/>
  <c r="I324" i="1"/>
  <c r="K324" i="1" s="1"/>
  <c r="J323" i="1"/>
  <c r="I323" i="1"/>
  <c r="J322" i="1"/>
  <c r="I322" i="1"/>
  <c r="N322" i="1" s="1"/>
  <c r="J321" i="1"/>
  <c r="L321" i="1" s="1"/>
  <c r="I321" i="1"/>
  <c r="N321" i="1" s="1"/>
  <c r="J320" i="1"/>
  <c r="I320" i="1"/>
  <c r="N320" i="1" s="1"/>
  <c r="J319" i="1"/>
  <c r="I319" i="1"/>
  <c r="N319" i="1" s="1"/>
  <c r="J318" i="1"/>
  <c r="H318" i="1"/>
  <c r="I318" i="1" s="1"/>
  <c r="J317" i="1"/>
  <c r="H317" i="1"/>
  <c r="I317" i="1" s="1"/>
  <c r="J316" i="1"/>
  <c r="H316" i="1"/>
  <c r="I316" i="1" s="1"/>
  <c r="K316" i="1" s="1"/>
  <c r="J315" i="1"/>
  <c r="H315" i="1"/>
  <c r="I315" i="1" s="1"/>
  <c r="N314" i="1"/>
  <c r="J314" i="1"/>
  <c r="L314" i="1" s="1"/>
  <c r="I314" i="1"/>
  <c r="J313" i="1"/>
  <c r="I313" i="1"/>
  <c r="K313" i="1" s="1"/>
  <c r="J312" i="1"/>
  <c r="H312" i="1"/>
  <c r="I312" i="1" s="1"/>
  <c r="N312" i="1" s="1"/>
  <c r="J311" i="1"/>
  <c r="H311" i="1"/>
  <c r="I311" i="1" s="1"/>
  <c r="N310" i="1"/>
  <c r="J310" i="1"/>
  <c r="K310" i="1" s="1"/>
  <c r="I310" i="1"/>
  <c r="J309" i="1"/>
  <c r="I309" i="1"/>
  <c r="N309" i="1" s="1"/>
  <c r="J308" i="1"/>
  <c r="I308" i="1"/>
  <c r="J307" i="1"/>
  <c r="I307" i="1"/>
  <c r="N307" i="1" s="1"/>
  <c r="J306" i="1"/>
  <c r="I306" i="1"/>
  <c r="J305" i="1"/>
  <c r="I305" i="1"/>
  <c r="N305" i="1" s="1"/>
  <c r="J304" i="1"/>
  <c r="H304" i="1"/>
  <c r="I304" i="1" s="1"/>
  <c r="J303" i="1"/>
  <c r="I303" i="1"/>
  <c r="J302" i="1"/>
  <c r="I302" i="1"/>
  <c r="J301" i="1"/>
  <c r="H301" i="1"/>
  <c r="I301" i="1" s="1"/>
  <c r="N301" i="1" s="1"/>
  <c r="J300" i="1"/>
  <c r="I300" i="1"/>
  <c r="J299" i="1"/>
  <c r="I299" i="1"/>
  <c r="N299" i="1" s="1"/>
  <c r="J298" i="1"/>
  <c r="H298" i="1"/>
  <c r="I298" i="1" s="1"/>
  <c r="K298" i="1" s="1"/>
  <c r="J297" i="1"/>
  <c r="H297" i="1"/>
  <c r="I297" i="1" s="1"/>
  <c r="J296" i="1"/>
  <c r="H296" i="1"/>
  <c r="I296" i="1" s="1"/>
  <c r="J295" i="1"/>
  <c r="I295" i="1"/>
  <c r="J294" i="1"/>
  <c r="H294" i="1"/>
  <c r="I294" i="1" s="1"/>
  <c r="J293" i="1"/>
  <c r="H293" i="1"/>
  <c r="I293" i="1" s="1"/>
  <c r="K293" i="1" s="1"/>
  <c r="J292" i="1"/>
  <c r="I292" i="1"/>
  <c r="J291" i="1"/>
  <c r="I291" i="1"/>
  <c r="N291" i="1" s="1"/>
  <c r="J290" i="1"/>
  <c r="I290" i="1"/>
  <c r="N290" i="1" s="1"/>
  <c r="J289" i="1"/>
  <c r="I289" i="1"/>
  <c r="J288" i="1"/>
  <c r="I288" i="1"/>
  <c r="J287" i="1"/>
  <c r="I287" i="1"/>
  <c r="N287" i="1" s="1"/>
  <c r="J286" i="1"/>
  <c r="I286" i="1"/>
  <c r="N286" i="1" s="1"/>
  <c r="J285" i="1"/>
  <c r="I285" i="1"/>
  <c r="N285" i="1" s="1"/>
  <c r="J284" i="1"/>
  <c r="I284" i="1"/>
  <c r="N284" i="1" s="1"/>
  <c r="J283" i="1"/>
  <c r="H283" i="1"/>
  <c r="I283" i="1" s="1"/>
  <c r="N283" i="1" s="1"/>
  <c r="J282" i="1"/>
  <c r="H282" i="1"/>
  <c r="I282" i="1" s="1"/>
  <c r="J281" i="1"/>
  <c r="H281" i="1"/>
  <c r="I281" i="1" s="1"/>
  <c r="J280" i="1"/>
  <c r="I280" i="1"/>
  <c r="J279" i="1"/>
  <c r="H279" i="1"/>
  <c r="I279" i="1" s="1"/>
  <c r="J278" i="1"/>
  <c r="I278" i="1"/>
  <c r="N278" i="1" s="1"/>
  <c r="J277" i="1"/>
  <c r="H277" i="1"/>
  <c r="I277" i="1" s="1"/>
  <c r="K277" i="1" s="1"/>
  <c r="J276" i="1"/>
  <c r="H276" i="1"/>
  <c r="I276" i="1" s="1"/>
  <c r="J275" i="1"/>
  <c r="I275" i="1"/>
  <c r="K275" i="1" s="1"/>
  <c r="M274" i="1"/>
  <c r="J274" i="1"/>
  <c r="I274" i="1"/>
  <c r="N274" i="1" s="1"/>
  <c r="J273" i="1"/>
  <c r="I273" i="1"/>
  <c r="J272" i="1"/>
  <c r="I272" i="1"/>
  <c r="J271" i="1"/>
  <c r="I271" i="1"/>
  <c r="N271" i="1" s="1"/>
  <c r="J270" i="1"/>
  <c r="I270" i="1"/>
  <c r="N270" i="1" s="1"/>
  <c r="J269" i="1"/>
  <c r="I269" i="1"/>
  <c r="N269" i="1" s="1"/>
  <c r="J268" i="1"/>
  <c r="I268" i="1"/>
  <c r="N268" i="1" s="1"/>
  <c r="M267" i="1"/>
  <c r="J267" i="1"/>
  <c r="H267" i="1"/>
  <c r="I267" i="1" s="1"/>
  <c r="N267" i="1" s="1"/>
  <c r="M266" i="1"/>
  <c r="J266" i="1"/>
  <c r="H266" i="1"/>
  <c r="I266" i="1" s="1"/>
  <c r="J265" i="1"/>
  <c r="H265" i="1"/>
  <c r="I265" i="1" s="1"/>
  <c r="J264" i="1"/>
  <c r="I264" i="1"/>
  <c r="J263" i="1"/>
  <c r="I263" i="1"/>
  <c r="J262" i="1"/>
  <c r="I262" i="1"/>
  <c r="N262" i="1" s="1"/>
  <c r="J261" i="1"/>
  <c r="I261" i="1"/>
  <c r="N261" i="1" s="1"/>
  <c r="J260" i="1"/>
  <c r="I260" i="1"/>
  <c r="N260" i="1" s="1"/>
  <c r="J259" i="1"/>
  <c r="I259" i="1"/>
  <c r="J258" i="1"/>
  <c r="I258" i="1"/>
  <c r="J257" i="1"/>
  <c r="I257" i="1"/>
  <c r="J256" i="1"/>
  <c r="I256" i="1"/>
  <c r="J255" i="1"/>
  <c r="I255" i="1"/>
  <c r="N254" i="1"/>
  <c r="J254" i="1"/>
  <c r="L254" i="1" s="1"/>
  <c r="I254" i="1"/>
  <c r="J253" i="1"/>
  <c r="I253" i="1"/>
  <c r="N253" i="1" s="1"/>
  <c r="J252" i="1"/>
  <c r="I252" i="1"/>
  <c r="J251" i="1"/>
  <c r="I251" i="1"/>
  <c r="N251" i="1" s="1"/>
  <c r="J250" i="1"/>
  <c r="I250" i="1"/>
  <c r="N250" i="1" s="1"/>
  <c r="J249" i="1"/>
  <c r="I249" i="1"/>
  <c r="N249" i="1" s="1"/>
  <c r="J248" i="1"/>
  <c r="I248" i="1"/>
  <c r="J247" i="1"/>
  <c r="I247" i="1"/>
  <c r="N247" i="1" s="1"/>
  <c r="J246" i="1"/>
  <c r="I246" i="1"/>
  <c r="J245" i="1"/>
  <c r="I245" i="1"/>
  <c r="J244" i="1"/>
  <c r="H244" i="1"/>
  <c r="I244" i="1" s="1"/>
  <c r="N244" i="1" s="1"/>
  <c r="J243" i="1"/>
  <c r="H243" i="1"/>
  <c r="I243" i="1" s="1"/>
  <c r="J242" i="1"/>
  <c r="I242" i="1"/>
  <c r="N242" i="1" s="1"/>
  <c r="J241" i="1"/>
  <c r="I241" i="1"/>
  <c r="L241" i="1" s="1"/>
  <c r="J240" i="1"/>
  <c r="I240" i="1"/>
  <c r="N240" i="1" s="1"/>
  <c r="J239" i="1"/>
  <c r="I239" i="1"/>
  <c r="J238" i="1"/>
  <c r="I238" i="1"/>
  <c r="N238" i="1" s="1"/>
  <c r="J237" i="1"/>
  <c r="I237" i="1"/>
  <c r="N237" i="1" s="1"/>
  <c r="H237" i="1"/>
  <c r="J236" i="1"/>
  <c r="H236" i="1"/>
  <c r="I236" i="1" s="1"/>
  <c r="J235" i="1"/>
  <c r="H235" i="1"/>
  <c r="I235" i="1" s="1"/>
  <c r="J234" i="1"/>
  <c r="I234" i="1"/>
  <c r="K234" i="1" s="1"/>
  <c r="J233" i="1"/>
  <c r="I233" i="1"/>
  <c r="J232" i="1"/>
  <c r="I232" i="1"/>
  <c r="N232" i="1" s="1"/>
  <c r="J231" i="1"/>
  <c r="I231" i="1"/>
  <c r="N231" i="1" s="1"/>
  <c r="J230" i="1"/>
  <c r="I230" i="1"/>
  <c r="N230" i="1" s="1"/>
  <c r="J229" i="1"/>
  <c r="I229" i="1"/>
  <c r="N229" i="1" s="1"/>
  <c r="J228" i="1"/>
  <c r="I228" i="1"/>
  <c r="J227" i="1"/>
  <c r="I227" i="1"/>
  <c r="J226" i="1"/>
  <c r="I226" i="1"/>
  <c r="L226" i="1" s="1"/>
  <c r="J225" i="1"/>
  <c r="I225" i="1"/>
  <c r="J224" i="1"/>
  <c r="I224" i="1"/>
  <c r="N224" i="1" s="1"/>
  <c r="J223" i="1"/>
  <c r="I223" i="1"/>
  <c r="L223" i="1" s="1"/>
  <c r="J222" i="1"/>
  <c r="I222" i="1"/>
  <c r="M221" i="1"/>
  <c r="J221" i="1"/>
  <c r="I221" i="1"/>
  <c r="N221" i="1" s="1"/>
  <c r="J220" i="1"/>
  <c r="I220" i="1"/>
  <c r="J219" i="1"/>
  <c r="I219" i="1"/>
  <c r="J218" i="1"/>
  <c r="H218" i="1"/>
  <c r="I218" i="1" s="1"/>
  <c r="N218" i="1" s="1"/>
  <c r="J217" i="1"/>
  <c r="I217" i="1"/>
  <c r="N217" i="1" s="1"/>
  <c r="M216" i="1"/>
  <c r="J216" i="1"/>
  <c r="H216" i="1"/>
  <c r="I216" i="1" s="1"/>
  <c r="J215" i="1"/>
  <c r="K215" i="1" s="1"/>
  <c r="I215" i="1"/>
  <c r="N215" i="1" s="1"/>
  <c r="J214" i="1"/>
  <c r="I214" i="1"/>
  <c r="N214" i="1" s="1"/>
  <c r="J213" i="1"/>
  <c r="I213" i="1"/>
  <c r="J212" i="1"/>
  <c r="H212" i="1"/>
  <c r="I212" i="1" s="1"/>
  <c r="J211" i="1"/>
  <c r="H211" i="1"/>
  <c r="I211" i="1" s="1"/>
  <c r="K211" i="1" s="1"/>
  <c r="J210" i="1"/>
  <c r="I210" i="1"/>
  <c r="J209" i="1"/>
  <c r="I209" i="1"/>
  <c r="N208" i="1"/>
  <c r="J208" i="1"/>
  <c r="L208" i="1" s="1"/>
  <c r="I208" i="1"/>
  <c r="J207" i="1"/>
  <c r="I207" i="1"/>
  <c r="N207" i="1" s="1"/>
  <c r="J206" i="1"/>
  <c r="H206" i="1"/>
  <c r="I206" i="1" s="1"/>
  <c r="L206" i="1" s="1"/>
  <c r="J205" i="1"/>
  <c r="I205" i="1"/>
  <c r="N205" i="1" s="1"/>
  <c r="J204" i="1"/>
  <c r="I204" i="1"/>
  <c r="N204" i="1" s="1"/>
  <c r="J203" i="1"/>
  <c r="H203" i="1"/>
  <c r="I203" i="1" s="1"/>
  <c r="K202" i="1"/>
  <c r="J202" i="1"/>
  <c r="H202" i="1"/>
  <c r="I202" i="1" s="1"/>
  <c r="J201" i="1"/>
  <c r="I201" i="1"/>
  <c r="N201" i="1" s="1"/>
  <c r="J200" i="1"/>
  <c r="I200" i="1"/>
  <c r="N200" i="1" s="1"/>
  <c r="J199" i="1"/>
  <c r="I199" i="1"/>
  <c r="J198" i="1"/>
  <c r="I198" i="1"/>
  <c r="N198" i="1" s="1"/>
  <c r="J197" i="1"/>
  <c r="I197" i="1"/>
  <c r="N197" i="1" s="1"/>
  <c r="J196" i="1"/>
  <c r="H196" i="1"/>
  <c r="I196" i="1" s="1"/>
  <c r="J195" i="1"/>
  <c r="H195" i="1"/>
  <c r="I195" i="1" s="1"/>
  <c r="L195" i="1" s="1"/>
  <c r="J194" i="1"/>
  <c r="I194" i="1"/>
  <c r="N194" i="1" s="1"/>
  <c r="J193" i="1"/>
  <c r="I193" i="1"/>
  <c r="M192" i="1"/>
  <c r="M193" i="1" s="1"/>
  <c r="J192" i="1"/>
  <c r="I192" i="1"/>
  <c r="N192" i="1" s="1"/>
  <c r="J191" i="1"/>
  <c r="I191" i="1"/>
  <c r="N191" i="1" s="1"/>
  <c r="J190" i="1"/>
  <c r="H190" i="1"/>
  <c r="I190" i="1" s="1"/>
  <c r="J189" i="1"/>
  <c r="H189" i="1"/>
  <c r="I189" i="1" s="1"/>
  <c r="N189" i="1" s="1"/>
  <c r="J188" i="1"/>
  <c r="I188" i="1"/>
  <c r="N188" i="1" s="1"/>
  <c r="J187" i="1"/>
  <c r="I187" i="1"/>
  <c r="J186" i="1"/>
  <c r="I186" i="1"/>
  <c r="N186" i="1" s="1"/>
  <c r="J185" i="1"/>
  <c r="I185" i="1"/>
  <c r="J184" i="1"/>
  <c r="I184" i="1"/>
  <c r="J183" i="1"/>
  <c r="I183" i="1"/>
  <c r="L183" i="1" s="1"/>
  <c r="J182" i="1"/>
  <c r="I182" i="1"/>
  <c r="J181" i="1"/>
  <c r="I181" i="1"/>
  <c r="J180" i="1"/>
  <c r="I180" i="1"/>
  <c r="J179" i="1"/>
  <c r="I179" i="1"/>
  <c r="J178" i="1"/>
  <c r="I178" i="1"/>
  <c r="J177" i="1"/>
  <c r="H177" i="1"/>
  <c r="I177" i="1" s="1"/>
  <c r="L177" i="1" s="1"/>
  <c r="J176" i="1"/>
  <c r="I176" i="1"/>
  <c r="J175" i="1"/>
  <c r="I175" i="1"/>
  <c r="J174" i="1"/>
  <c r="I174" i="1"/>
  <c r="J173" i="1"/>
  <c r="I173" i="1"/>
  <c r="J172" i="1"/>
  <c r="I172" i="1"/>
  <c r="J171" i="1"/>
  <c r="I171" i="1"/>
  <c r="N171" i="1" s="1"/>
  <c r="J170" i="1"/>
  <c r="I170" i="1"/>
  <c r="N170" i="1" s="1"/>
  <c r="J169" i="1"/>
  <c r="I169" i="1"/>
  <c r="N169" i="1" s="1"/>
  <c r="J168" i="1"/>
  <c r="H168" i="1"/>
  <c r="I168" i="1" s="1"/>
  <c r="J167" i="1"/>
  <c r="I167" i="1"/>
  <c r="J166" i="1"/>
  <c r="I166" i="1"/>
  <c r="J165" i="1"/>
  <c r="I165" i="1"/>
  <c r="J164" i="1"/>
  <c r="I164" i="1"/>
  <c r="N164" i="1" s="1"/>
  <c r="J163" i="1"/>
  <c r="I163" i="1"/>
  <c r="K163" i="1" s="1"/>
  <c r="J162" i="1"/>
  <c r="I162" i="1"/>
  <c r="J161" i="1"/>
  <c r="I161" i="1"/>
  <c r="N161" i="1" s="1"/>
  <c r="J160" i="1"/>
  <c r="I160" i="1"/>
  <c r="N160" i="1" s="1"/>
  <c r="J159" i="1"/>
  <c r="I159" i="1"/>
  <c r="N159" i="1" s="1"/>
  <c r="J158" i="1"/>
  <c r="I158" i="1"/>
  <c r="N158" i="1" s="1"/>
  <c r="J157" i="1"/>
  <c r="I157" i="1"/>
  <c r="J156" i="1"/>
  <c r="I156" i="1"/>
  <c r="J155" i="1"/>
  <c r="I155" i="1"/>
  <c r="M154" i="1"/>
  <c r="J154" i="1"/>
  <c r="H154" i="1"/>
  <c r="I154" i="1" s="1"/>
  <c r="J153" i="1"/>
  <c r="I153" i="1"/>
  <c r="K152" i="1"/>
  <c r="J152" i="1"/>
  <c r="I152" i="1"/>
  <c r="N152" i="1" s="1"/>
  <c r="J151" i="1"/>
  <c r="I151" i="1"/>
  <c r="J150" i="1"/>
  <c r="I150" i="1"/>
  <c r="N150" i="1" s="1"/>
  <c r="J149" i="1"/>
  <c r="I149" i="1"/>
  <c r="N149" i="1" s="1"/>
  <c r="J148" i="1"/>
  <c r="I148" i="1"/>
  <c r="J147" i="1"/>
  <c r="I147" i="1"/>
  <c r="J146" i="1"/>
  <c r="I146" i="1"/>
  <c r="N146" i="1" s="1"/>
  <c r="J145" i="1"/>
  <c r="I145" i="1"/>
  <c r="J144" i="1"/>
  <c r="I144" i="1"/>
  <c r="N144" i="1" s="1"/>
  <c r="J143" i="1"/>
  <c r="I143" i="1"/>
  <c r="J142" i="1"/>
  <c r="I142" i="1"/>
  <c r="N142" i="1" s="1"/>
  <c r="J141" i="1"/>
  <c r="I141" i="1"/>
  <c r="N141" i="1" s="1"/>
  <c r="N140" i="1"/>
  <c r="J140" i="1"/>
  <c r="I140" i="1"/>
  <c r="K140" i="1" s="1"/>
  <c r="M139" i="1"/>
  <c r="J139" i="1"/>
  <c r="H139" i="1"/>
  <c r="I139" i="1" s="1"/>
  <c r="L139" i="1" s="1"/>
  <c r="J138" i="1"/>
  <c r="I138" i="1"/>
  <c r="J137" i="1"/>
  <c r="I137" i="1"/>
  <c r="N137" i="1" s="1"/>
  <c r="J136" i="1"/>
  <c r="I136" i="1"/>
  <c r="N136" i="1" s="1"/>
  <c r="J135" i="1"/>
  <c r="I135" i="1"/>
  <c r="J134" i="1"/>
  <c r="I134" i="1"/>
  <c r="J133" i="1"/>
  <c r="I133" i="1"/>
  <c r="J132" i="1"/>
  <c r="I132" i="1"/>
  <c r="J131" i="1"/>
  <c r="I131" i="1"/>
  <c r="N131" i="1" s="1"/>
  <c r="J130" i="1"/>
  <c r="I130" i="1"/>
  <c r="N130" i="1" s="1"/>
  <c r="J129" i="1"/>
  <c r="I129" i="1"/>
  <c r="N129" i="1" s="1"/>
  <c r="J128" i="1"/>
  <c r="I128" i="1"/>
  <c r="J127" i="1"/>
  <c r="I127" i="1"/>
  <c r="L127" i="1" s="1"/>
  <c r="J126" i="1"/>
  <c r="I126" i="1"/>
  <c r="N126" i="1" s="1"/>
  <c r="J125" i="1"/>
  <c r="I125" i="1"/>
  <c r="M124" i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J124" i="1"/>
  <c r="I124" i="1"/>
  <c r="J123" i="1"/>
  <c r="I123" i="1"/>
  <c r="J122" i="1"/>
  <c r="I122" i="1"/>
  <c r="J121" i="1"/>
  <c r="I121" i="1"/>
  <c r="J120" i="1"/>
  <c r="I120" i="1"/>
  <c r="J119" i="1"/>
  <c r="I119" i="1"/>
  <c r="J118" i="1"/>
  <c r="I118" i="1"/>
  <c r="N118" i="1" s="1"/>
  <c r="J117" i="1"/>
  <c r="I117" i="1"/>
  <c r="N117" i="1" s="1"/>
  <c r="J116" i="1"/>
  <c r="I116" i="1"/>
  <c r="J115" i="1"/>
  <c r="I115" i="1"/>
  <c r="K115" i="1" s="1"/>
  <c r="J114" i="1"/>
  <c r="I114" i="1"/>
  <c r="L114" i="1" s="1"/>
  <c r="J113" i="1"/>
  <c r="I113" i="1"/>
  <c r="J112" i="1"/>
  <c r="I112" i="1"/>
  <c r="N112" i="1" s="1"/>
  <c r="J111" i="1"/>
  <c r="I111" i="1"/>
  <c r="N111" i="1" s="1"/>
  <c r="J110" i="1"/>
  <c r="I110" i="1"/>
  <c r="N110" i="1" s="1"/>
  <c r="J109" i="1"/>
  <c r="I109" i="1"/>
  <c r="N109" i="1" s="1"/>
  <c r="J108" i="1"/>
  <c r="I108" i="1"/>
  <c r="N108" i="1" s="1"/>
  <c r="J107" i="1"/>
  <c r="I107" i="1"/>
  <c r="N107" i="1" s="1"/>
  <c r="J106" i="1"/>
  <c r="I106" i="1"/>
  <c r="J105" i="1"/>
  <c r="I105" i="1"/>
  <c r="N105" i="1" s="1"/>
  <c r="J104" i="1"/>
  <c r="I104" i="1"/>
  <c r="N104" i="1" s="1"/>
  <c r="J103" i="1"/>
  <c r="H103" i="1"/>
  <c r="I103" i="1" s="1"/>
  <c r="J102" i="1"/>
  <c r="I102" i="1"/>
  <c r="N102" i="1" s="1"/>
  <c r="J101" i="1"/>
  <c r="I101" i="1"/>
  <c r="K101" i="1" s="1"/>
  <c r="J100" i="1"/>
  <c r="I100" i="1"/>
  <c r="J99" i="1"/>
  <c r="I99" i="1"/>
  <c r="J98" i="1"/>
  <c r="I98" i="1"/>
  <c r="N97" i="1"/>
  <c r="J97" i="1"/>
  <c r="I97" i="1"/>
  <c r="J96" i="1"/>
  <c r="I96" i="1"/>
  <c r="N96" i="1" s="1"/>
  <c r="J95" i="1"/>
  <c r="I95" i="1"/>
  <c r="J94" i="1"/>
  <c r="I94" i="1"/>
  <c r="L94" i="1" s="1"/>
  <c r="J93" i="1"/>
  <c r="H93" i="1"/>
  <c r="I93" i="1" s="1"/>
  <c r="N92" i="1"/>
  <c r="J92" i="1"/>
  <c r="I92" i="1"/>
  <c r="L92" i="1" s="1"/>
  <c r="J91" i="1"/>
  <c r="I91" i="1"/>
  <c r="J90" i="1"/>
  <c r="I90" i="1"/>
  <c r="J89" i="1"/>
  <c r="I89" i="1"/>
  <c r="N89" i="1" s="1"/>
  <c r="J88" i="1"/>
  <c r="I88" i="1"/>
  <c r="N88" i="1" s="1"/>
  <c r="J87" i="1"/>
  <c r="I87" i="1"/>
  <c r="N87" i="1" s="1"/>
  <c r="J86" i="1"/>
  <c r="I86" i="1"/>
  <c r="N86" i="1" s="1"/>
  <c r="J85" i="1"/>
  <c r="K85" i="1" s="1"/>
  <c r="I85" i="1"/>
  <c r="N85" i="1" s="1"/>
  <c r="J84" i="1"/>
  <c r="I84" i="1"/>
  <c r="J83" i="1"/>
  <c r="I83" i="1"/>
  <c r="J82" i="1"/>
  <c r="I82" i="1"/>
  <c r="J81" i="1"/>
  <c r="I81" i="1"/>
  <c r="J80" i="1"/>
  <c r="I80" i="1"/>
  <c r="N80" i="1" s="1"/>
  <c r="J79" i="1"/>
  <c r="I79" i="1"/>
  <c r="J78" i="1"/>
  <c r="I78" i="1"/>
  <c r="N77" i="1"/>
  <c r="J77" i="1"/>
  <c r="L77" i="1" s="1"/>
  <c r="I77" i="1"/>
  <c r="J76" i="1"/>
  <c r="I76" i="1"/>
  <c r="K76" i="1" s="1"/>
  <c r="J75" i="1"/>
  <c r="I75" i="1"/>
  <c r="K75" i="1" s="1"/>
  <c r="J74" i="1"/>
  <c r="I74" i="1"/>
  <c r="J73" i="1"/>
  <c r="I73" i="1"/>
  <c r="L73" i="1" s="1"/>
  <c r="J72" i="1"/>
  <c r="H72" i="1"/>
  <c r="I72" i="1" s="1"/>
  <c r="L71" i="1"/>
  <c r="J71" i="1"/>
  <c r="I71" i="1"/>
  <c r="N71" i="1" s="1"/>
  <c r="J70" i="1"/>
  <c r="I70" i="1"/>
  <c r="J69" i="1"/>
  <c r="I69" i="1"/>
  <c r="J68" i="1"/>
  <c r="I68" i="1"/>
  <c r="N68" i="1" s="1"/>
  <c r="J67" i="1"/>
  <c r="I67" i="1"/>
  <c r="N67" i="1" s="1"/>
  <c r="J66" i="1"/>
  <c r="I66" i="1"/>
  <c r="L66" i="1" s="1"/>
  <c r="J65" i="1"/>
  <c r="H65" i="1"/>
  <c r="I65" i="1" s="1"/>
  <c r="N65" i="1" s="1"/>
  <c r="J64" i="1"/>
  <c r="I64" i="1"/>
  <c r="J63" i="1"/>
  <c r="H63" i="1"/>
  <c r="I63" i="1" s="1"/>
  <c r="K63" i="1" s="1"/>
  <c r="J62" i="1"/>
  <c r="I62" i="1"/>
  <c r="K62" i="1" s="1"/>
  <c r="J61" i="1"/>
  <c r="I61" i="1"/>
  <c r="N61" i="1" s="1"/>
  <c r="J60" i="1"/>
  <c r="I60" i="1"/>
  <c r="N60" i="1" s="1"/>
  <c r="J59" i="1"/>
  <c r="I59" i="1"/>
  <c r="J58" i="1"/>
  <c r="H58" i="1"/>
  <c r="I58" i="1" s="1"/>
  <c r="J57" i="1"/>
  <c r="I57" i="1"/>
  <c r="N57" i="1" s="1"/>
  <c r="J56" i="1"/>
  <c r="I56" i="1"/>
  <c r="N56" i="1" s="1"/>
  <c r="J55" i="1"/>
  <c r="I55" i="1"/>
  <c r="J54" i="1"/>
  <c r="I54" i="1"/>
  <c r="L54" i="1" s="1"/>
  <c r="J53" i="1"/>
  <c r="I53" i="1"/>
  <c r="N53" i="1" s="1"/>
  <c r="J52" i="1"/>
  <c r="I52" i="1"/>
  <c r="J51" i="1"/>
  <c r="I51" i="1"/>
  <c r="N51" i="1" s="1"/>
  <c r="J50" i="1"/>
  <c r="I50" i="1"/>
  <c r="K50" i="1" s="1"/>
  <c r="N49" i="1"/>
  <c r="J49" i="1"/>
  <c r="I49" i="1"/>
  <c r="J48" i="1"/>
  <c r="I48" i="1"/>
  <c r="N48" i="1" s="1"/>
  <c r="J47" i="1"/>
  <c r="I47" i="1"/>
  <c r="J46" i="1"/>
  <c r="I46" i="1"/>
  <c r="N46" i="1" s="1"/>
  <c r="J45" i="1"/>
  <c r="I45" i="1"/>
  <c r="J44" i="1"/>
  <c r="I44" i="1"/>
  <c r="J43" i="1"/>
  <c r="I43" i="1"/>
  <c r="N43" i="1" s="1"/>
  <c r="J42" i="1"/>
  <c r="I42" i="1"/>
  <c r="N42" i="1" s="1"/>
  <c r="J41" i="1"/>
  <c r="I41" i="1"/>
  <c r="N41" i="1" s="1"/>
  <c r="J40" i="1"/>
  <c r="I40" i="1"/>
  <c r="J39" i="1"/>
  <c r="I39" i="1"/>
  <c r="N39" i="1" s="1"/>
  <c r="J38" i="1"/>
  <c r="I38" i="1"/>
  <c r="N38" i="1" s="1"/>
  <c r="J37" i="1"/>
  <c r="I37" i="1"/>
  <c r="J36" i="1"/>
  <c r="I36" i="1"/>
  <c r="J35" i="1"/>
  <c r="I35" i="1"/>
  <c r="N35" i="1" s="1"/>
  <c r="J34" i="1"/>
  <c r="I34" i="1"/>
  <c r="J33" i="1"/>
  <c r="I33" i="1"/>
  <c r="J32" i="1"/>
  <c r="I32" i="1"/>
  <c r="L32" i="1" s="1"/>
  <c r="J31" i="1"/>
  <c r="I31" i="1"/>
  <c r="N31" i="1" s="1"/>
  <c r="J30" i="1"/>
  <c r="I30" i="1"/>
  <c r="J29" i="1"/>
  <c r="I29" i="1"/>
  <c r="N29" i="1" s="1"/>
  <c r="J28" i="1"/>
  <c r="I28" i="1"/>
  <c r="N28" i="1" s="1"/>
  <c r="J27" i="1"/>
  <c r="I27" i="1"/>
  <c r="J26" i="1"/>
  <c r="I26" i="1"/>
  <c r="N26" i="1" s="1"/>
  <c r="J25" i="1"/>
  <c r="I25" i="1"/>
  <c r="J24" i="1"/>
  <c r="I24" i="1"/>
  <c r="J23" i="1"/>
  <c r="I23" i="1"/>
  <c r="J22" i="1"/>
  <c r="I22" i="1"/>
  <c r="J21" i="1"/>
  <c r="I21" i="1"/>
  <c r="N21" i="1" s="1"/>
  <c r="J20" i="1"/>
  <c r="I20" i="1"/>
  <c r="J19" i="1"/>
  <c r="I19" i="1"/>
  <c r="J18" i="1"/>
  <c r="I18" i="1"/>
  <c r="K18" i="1" s="1"/>
  <c r="J17" i="1"/>
  <c r="I17" i="1"/>
  <c r="N17" i="1" s="1"/>
  <c r="J16" i="1"/>
  <c r="I16" i="1"/>
  <c r="J15" i="1"/>
  <c r="I15" i="1"/>
  <c r="M14" i="1"/>
  <c r="J14" i="1"/>
  <c r="H14" i="1"/>
  <c r="I14" i="1" s="1"/>
  <c r="N14" i="1" s="1"/>
  <c r="M13" i="1"/>
  <c r="J13" i="1"/>
  <c r="H13" i="1"/>
  <c r="I13" i="1" s="1"/>
  <c r="M12" i="1"/>
  <c r="J12" i="1"/>
  <c r="H12" i="1"/>
  <c r="I12" i="1" s="1"/>
  <c r="M11" i="1"/>
  <c r="J11" i="1"/>
  <c r="H11" i="1"/>
  <c r="I11" i="1" s="1"/>
  <c r="J10" i="1"/>
  <c r="I10" i="1"/>
  <c r="K10" i="1" s="1"/>
  <c r="J9" i="1"/>
  <c r="I9" i="1"/>
  <c r="N9" i="1" s="1"/>
  <c r="J8" i="1"/>
  <c r="I8" i="1"/>
  <c r="N8" i="1" s="1"/>
  <c r="J7" i="1"/>
  <c r="L7" i="1" s="1"/>
  <c r="I7" i="1"/>
  <c r="N7" i="1" s="1"/>
  <c r="J6" i="1"/>
  <c r="I6" i="1"/>
  <c r="N6" i="1" s="1"/>
  <c r="J5" i="1"/>
  <c r="I5" i="1"/>
  <c r="N5" i="1" s="1"/>
  <c r="J4" i="1"/>
  <c r="H4" i="1"/>
  <c r="I4" i="1" s="1"/>
  <c r="J3" i="1"/>
  <c r="I3" i="1"/>
  <c r="J2" i="1"/>
  <c r="I2" i="1"/>
  <c r="K2" i="1" s="1"/>
  <c r="K194" i="1" l="1"/>
  <c r="K229" i="1"/>
  <c r="L385" i="1"/>
  <c r="L465" i="1"/>
  <c r="K156" i="1"/>
  <c r="K172" i="1"/>
  <c r="L229" i="1"/>
  <c r="L259" i="1"/>
  <c r="L378" i="1"/>
  <c r="L46" i="1"/>
  <c r="K443" i="1"/>
  <c r="L76" i="1"/>
  <c r="K415" i="1"/>
  <c r="K84" i="1"/>
  <c r="N334" i="1"/>
  <c r="K394" i="1"/>
  <c r="K401" i="1"/>
  <c r="N415" i="1"/>
  <c r="L188" i="1"/>
  <c r="K209" i="1"/>
  <c r="K31" i="1"/>
  <c r="N223" i="1"/>
  <c r="N76" i="1"/>
  <c r="L217" i="1"/>
  <c r="L334" i="1"/>
  <c r="L372" i="1"/>
  <c r="K25" i="1"/>
  <c r="L123" i="1"/>
  <c r="L394" i="1"/>
  <c r="K416" i="1"/>
  <c r="K438" i="1"/>
  <c r="L61" i="1"/>
  <c r="K220" i="1"/>
  <c r="L383" i="1"/>
  <c r="N50" i="1"/>
  <c r="L309" i="1"/>
  <c r="L360" i="1"/>
  <c r="L36" i="1"/>
  <c r="L44" i="1"/>
  <c r="K118" i="1"/>
  <c r="L140" i="1"/>
  <c r="K178" i="1"/>
  <c r="L272" i="1"/>
  <c r="L419" i="1"/>
  <c r="L296" i="1"/>
  <c r="K296" i="1"/>
  <c r="N296" i="1"/>
  <c r="L304" i="1"/>
  <c r="N304" i="1"/>
  <c r="K330" i="1"/>
  <c r="N330" i="1"/>
  <c r="L330" i="1"/>
  <c r="K125" i="1"/>
  <c r="K383" i="1"/>
  <c r="K198" i="1"/>
  <c r="K92" i="1"/>
  <c r="L98" i="1"/>
  <c r="L303" i="1"/>
  <c r="K369" i="1"/>
  <c r="K395" i="1"/>
  <c r="L35" i="1"/>
  <c r="K113" i="1"/>
  <c r="K133" i="1"/>
  <c r="K162" i="1"/>
  <c r="K217" i="1"/>
  <c r="L292" i="1"/>
  <c r="L348" i="1"/>
  <c r="K402" i="1"/>
  <c r="L451" i="1"/>
  <c r="L467" i="1"/>
  <c r="K66" i="1"/>
  <c r="K287" i="1"/>
  <c r="L349" i="1"/>
  <c r="L232" i="1"/>
  <c r="L287" i="1"/>
  <c r="N324" i="1"/>
  <c r="L335" i="1"/>
  <c r="L364" i="1"/>
  <c r="N378" i="1"/>
  <c r="K431" i="1"/>
  <c r="L31" i="1"/>
  <c r="K38" i="1"/>
  <c r="K61" i="1"/>
  <c r="N66" i="1"/>
  <c r="K74" i="1"/>
  <c r="L88" i="1"/>
  <c r="K157" i="1"/>
  <c r="K372" i="1"/>
  <c r="K385" i="1"/>
  <c r="L431" i="1"/>
  <c r="K259" i="1"/>
  <c r="L9" i="1"/>
  <c r="K88" i="1"/>
  <c r="K109" i="1"/>
  <c r="L115" i="1"/>
  <c r="K227" i="1"/>
  <c r="K365" i="1"/>
  <c r="N385" i="1"/>
  <c r="L447" i="1"/>
  <c r="K459" i="1"/>
  <c r="L262" i="1"/>
  <c r="L344" i="1"/>
  <c r="L198" i="1"/>
  <c r="L310" i="1"/>
  <c r="L370" i="1"/>
  <c r="N293" i="1"/>
  <c r="L109" i="1"/>
  <c r="N115" i="1"/>
  <c r="L17" i="1"/>
  <c r="K110" i="1"/>
  <c r="N123" i="1"/>
  <c r="K228" i="1"/>
  <c r="L234" i="1"/>
  <c r="K283" i="1"/>
  <c r="L289" i="1"/>
  <c r="K301" i="1"/>
  <c r="L399" i="1"/>
  <c r="K455" i="1"/>
  <c r="L463" i="1"/>
  <c r="L396" i="1"/>
  <c r="N259" i="1"/>
  <c r="L390" i="1"/>
  <c r="N114" i="1"/>
  <c r="L324" i="1"/>
  <c r="L39" i="1"/>
  <c r="K151" i="1"/>
  <c r="L5" i="1"/>
  <c r="L33" i="1"/>
  <c r="L175" i="1"/>
  <c r="K189" i="1"/>
  <c r="L249" i="1"/>
  <c r="L283" i="1"/>
  <c r="L301" i="1"/>
  <c r="K338" i="1"/>
  <c r="K420" i="1"/>
  <c r="K427" i="1"/>
  <c r="L464" i="1"/>
  <c r="N44" i="1"/>
  <c r="L189" i="1"/>
  <c r="K34" i="1"/>
  <c r="L49" i="1"/>
  <c r="K91" i="1"/>
  <c r="K132" i="1"/>
  <c r="K257" i="1"/>
  <c r="K264" i="1"/>
  <c r="L302" i="1"/>
  <c r="K333" i="1"/>
  <c r="L339" i="1"/>
  <c r="L388" i="1"/>
  <c r="K457" i="1"/>
  <c r="K465" i="1"/>
  <c r="N190" i="1"/>
  <c r="L190" i="1"/>
  <c r="K190" i="1"/>
  <c r="K265" i="1"/>
  <c r="N265" i="1"/>
  <c r="L265" i="1"/>
  <c r="K279" i="1"/>
  <c r="N279" i="1"/>
  <c r="L279" i="1"/>
  <c r="N311" i="1"/>
  <c r="L311" i="1"/>
  <c r="K311" i="1"/>
  <c r="N11" i="1"/>
  <c r="K11" i="1"/>
  <c r="L11" i="1"/>
  <c r="N366" i="1"/>
  <c r="L366" i="1"/>
  <c r="K174" i="1"/>
  <c r="N174" i="1"/>
  <c r="L174" i="1"/>
  <c r="K249" i="1"/>
  <c r="K254" i="1"/>
  <c r="L288" i="1"/>
  <c r="K314" i="1"/>
  <c r="K336" i="1"/>
  <c r="L336" i="1"/>
  <c r="N336" i="1"/>
  <c r="K355" i="1"/>
  <c r="L18" i="1"/>
  <c r="K104" i="1"/>
  <c r="L160" i="1"/>
  <c r="K199" i="1"/>
  <c r="L277" i="1"/>
  <c r="K289" i="1"/>
  <c r="N289" i="1"/>
  <c r="K361" i="1"/>
  <c r="K366" i="1"/>
  <c r="K379" i="1"/>
  <c r="K461" i="1"/>
  <c r="L210" i="1"/>
  <c r="N210" i="1"/>
  <c r="L10" i="1"/>
  <c r="N15" i="1"/>
  <c r="L15" i="1"/>
  <c r="K15" i="1"/>
  <c r="K42" i="1"/>
  <c r="L156" i="1"/>
  <c r="K214" i="1"/>
  <c r="L220" i="1"/>
  <c r="N220" i="1"/>
  <c r="L233" i="1"/>
  <c r="L274" i="1"/>
  <c r="L345" i="1"/>
  <c r="L369" i="1"/>
  <c r="L412" i="1"/>
  <c r="L361" i="1"/>
  <c r="L194" i="1"/>
  <c r="L110" i="1"/>
  <c r="K450" i="1"/>
  <c r="N450" i="1"/>
  <c r="L250" i="1"/>
  <c r="K470" i="1"/>
  <c r="N470" i="1"/>
  <c r="L470" i="1"/>
  <c r="L131" i="1"/>
  <c r="L153" i="1"/>
  <c r="N153" i="1"/>
  <c r="K153" i="1"/>
  <c r="N277" i="1"/>
  <c r="K105" i="1"/>
  <c r="K161" i="1"/>
  <c r="K47" i="1"/>
  <c r="N47" i="1"/>
  <c r="L47" i="1"/>
  <c r="N73" i="1"/>
  <c r="L105" i="1"/>
  <c r="L161" i="1"/>
  <c r="K278" i="1"/>
  <c r="L130" i="1"/>
  <c r="L142" i="1"/>
  <c r="L137" i="1"/>
  <c r="L246" i="1"/>
  <c r="K246" i="1"/>
  <c r="N246" i="1"/>
  <c r="K274" i="1"/>
  <c r="K412" i="1"/>
  <c r="N10" i="1"/>
  <c r="N438" i="1"/>
  <c r="N464" i="1"/>
  <c r="K69" i="1"/>
  <c r="L69" i="1"/>
  <c r="N69" i="1"/>
  <c r="K94" i="1"/>
  <c r="N94" i="1"/>
  <c r="K258" i="1"/>
  <c r="K307" i="1"/>
  <c r="N346" i="1"/>
  <c r="L346" i="1"/>
  <c r="K346" i="1"/>
  <c r="L6" i="1"/>
  <c r="K56" i="1"/>
  <c r="N178" i="1"/>
  <c r="L186" i="1"/>
  <c r="L209" i="1"/>
  <c r="L253" i="1"/>
  <c r="L264" i="1"/>
  <c r="N292" i="1"/>
  <c r="K302" i="1"/>
  <c r="N401" i="1"/>
  <c r="L401" i="1"/>
  <c r="K432" i="1"/>
  <c r="L445" i="1"/>
  <c r="N121" i="1"/>
  <c r="L121" i="1"/>
  <c r="K121" i="1"/>
  <c r="N18" i="1"/>
  <c r="L461" i="1"/>
  <c r="L141" i="1"/>
  <c r="K386" i="1"/>
  <c r="L386" i="1"/>
  <c r="N386" i="1"/>
  <c r="K250" i="1"/>
  <c r="N468" i="1"/>
  <c r="L34" i="1"/>
  <c r="L278" i="1"/>
  <c r="K418" i="1"/>
  <c r="N418" i="1"/>
  <c r="L418" i="1"/>
  <c r="N34" i="1"/>
  <c r="L450" i="1"/>
  <c r="L42" i="1"/>
  <c r="K131" i="1"/>
  <c r="K268" i="1"/>
  <c r="N432" i="1"/>
  <c r="K57" i="1"/>
  <c r="N187" i="1"/>
  <c r="L187" i="1"/>
  <c r="K187" i="1"/>
  <c r="L215" i="1"/>
  <c r="N234" i="1"/>
  <c r="N302" i="1"/>
  <c r="K360" i="1"/>
  <c r="N370" i="1"/>
  <c r="N465" i="1"/>
  <c r="N2" i="1"/>
  <c r="L2" i="1"/>
  <c r="K46" i="1"/>
  <c r="K321" i="1"/>
  <c r="K19" i="1"/>
  <c r="N404" i="1"/>
  <c r="K468" i="1"/>
  <c r="N20" i="1"/>
  <c r="K20" i="1"/>
  <c r="L20" i="1"/>
  <c r="K142" i="1"/>
  <c r="K411" i="1"/>
  <c r="K345" i="1"/>
  <c r="N156" i="1"/>
  <c r="N369" i="1"/>
  <c r="N264" i="1"/>
  <c r="N64" i="1"/>
  <c r="L64" i="1"/>
  <c r="K89" i="1"/>
  <c r="L152" i="1"/>
  <c r="K7" i="1"/>
  <c r="L50" i="1"/>
  <c r="L57" i="1"/>
  <c r="K64" i="1"/>
  <c r="K77" i="1"/>
  <c r="K120" i="1"/>
  <c r="L146" i="1"/>
  <c r="L204" i="1"/>
  <c r="N209" i="1"/>
  <c r="K235" i="1"/>
  <c r="N235" i="1"/>
  <c r="L235" i="1"/>
  <c r="L293" i="1"/>
  <c r="N298" i="1"/>
  <c r="K335" i="1"/>
  <c r="K342" i="1"/>
  <c r="N342" i="1"/>
  <c r="L342" i="1"/>
  <c r="L365" i="1"/>
  <c r="L384" i="1"/>
  <c r="K390" i="1"/>
  <c r="K428" i="1"/>
  <c r="K466" i="1"/>
  <c r="N466" i="1"/>
  <c r="L466" i="1"/>
  <c r="L284" i="1"/>
  <c r="L112" i="1"/>
  <c r="K106" i="1"/>
  <c r="L299" i="1"/>
  <c r="L231" i="1"/>
  <c r="K322" i="1"/>
  <c r="K352" i="1"/>
  <c r="K358" i="1"/>
  <c r="L434" i="1"/>
  <c r="K446" i="1"/>
  <c r="L3" i="1"/>
  <c r="K32" i="1"/>
  <c r="K43" i="1"/>
  <c r="K60" i="1"/>
  <c r="L75" i="1"/>
  <c r="L80" i="1"/>
  <c r="L91" i="1"/>
  <c r="N101" i="1"/>
  <c r="L132" i="1"/>
  <c r="K158" i="1"/>
  <c r="L163" i="1"/>
  <c r="K197" i="1"/>
  <c r="K207" i="1"/>
  <c r="L211" i="1"/>
  <c r="K241" i="1"/>
  <c r="K247" i="1"/>
  <c r="K290" i="1"/>
  <c r="K327" i="1"/>
  <c r="K367" i="1"/>
  <c r="K377" i="1"/>
  <c r="L425" i="1"/>
  <c r="K430" i="1"/>
  <c r="N434" i="1"/>
  <c r="K442" i="1"/>
  <c r="L446" i="1"/>
  <c r="L457" i="1"/>
  <c r="N75" i="1"/>
  <c r="L207" i="1"/>
  <c r="K59" i="1"/>
  <c r="L107" i="1"/>
  <c r="K8" i="1"/>
  <c r="N91" i="1"/>
  <c r="K117" i="1"/>
  <c r="N127" i="1"/>
  <c r="N132" i="1"/>
  <c r="L158" i="1"/>
  <c r="N163" i="1"/>
  <c r="K251" i="1"/>
  <c r="L290" i="1"/>
  <c r="L367" i="1"/>
  <c r="L377" i="1"/>
  <c r="L402" i="1"/>
  <c r="L430" i="1"/>
  <c r="N457" i="1"/>
  <c r="L8" i="1"/>
  <c r="K28" i="1"/>
  <c r="N32" i="1"/>
  <c r="L38" i="1"/>
  <c r="L65" i="1"/>
  <c r="K87" i="1"/>
  <c r="K96" i="1"/>
  <c r="L117" i="1"/>
  <c r="L144" i="1"/>
  <c r="K150" i="1"/>
  <c r="K164" i="1"/>
  <c r="K170" i="1"/>
  <c r="K188" i="1"/>
  <c r="L192" i="1"/>
  <c r="L197" i="1"/>
  <c r="L221" i="1"/>
  <c r="K232" i="1"/>
  <c r="N241" i="1"/>
  <c r="L251" i="1"/>
  <c r="K262" i="1"/>
  <c r="K328" i="1"/>
  <c r="K388" i="1"/>
  <c r="N402" i="1"/>
  <c r="K419" i="1"/>
  <c r="L426" i="1"/>
  <c r="L442" i="1"/>
  <c r="K463" i="1"/>
  <c r="K467" i="1"/>
  <c r="L101" i="1"/>
  <c r="K65" i="1"/>
  <c r="N211" i="1"/>
  <c r="K221" i="1"/>
  <c r="K44" i="1"/>
  <c r="L150" i="1"/>
  <c r="L170" i="1"/>
  <c r="K183" i="1"/>
  <c r="L227" i="1"/>
  <c r="L257" i="1"/>
  <c r="K304" i="1"/>
  <c r="K348" i="1"/>
  <c r="K447" i="1"/>
  <c r="N452" i="1"/>
  <c r="K111" i="1"/>
  <c r="L201" i="1"/>
  <c r="L28" i="1"/>
  <c r="L48" i="1"/>
  <c r="L87" i="1"/>
  <c r="L96" i="1"/>
  <c r="L113" i="1"/>
  <c r="K123" i="1"/>
  <c r="K5" i="1"/>
  <c r="K9" i="1"/>
  <c r="L22" i="1"/>
  <c r="L55" i="1"/>
  <c r="K71" i="1"/>
  <c r="L82" i="1"/>
  <c r="N113" i="1"/>
  <c r="L134" i="1"/>
  <c r="L159" i="1"/>
  <c r="L164" i="1"/>
  <c r="N183" i="1"/>
  <c r="K208" i="1"/>
  <c r="N227" i="1"/>
  <c r="N257" i="1"/>
  <c r="K364" i="1"/>
  <c r="K410" i="1"/>
  <c r="N13" i="1"/>
  <c r="K13" i="1"/>
  <c r="L13" i="1"/>
  <c r="N236" i="1"/>
  <c r="L236" i="1"/>
  <c r="K236" i="1"/>
  <c r="N318" i="1"/>
  <c r="K318" i="1"/>
  <c r="L318" i="1"/>
  <c r="N58" i="1"/>
  <c r="L58" i="1"/>
  <c r="K58" i="1"/>
  <c r="N203" i="1"/>
  <c r="L203" i="1"/>
  <c r="K203" i="1"/>
  <c r="N12" i="1"/>
  <c r="L12" i="1"/>
  <c r="K12" i="1"/>
  <c r="N103" i="1"/>
  <c r="L103" i="1"/>
  <c r="K103" i="1"/>
  <c r="N275" i="1"/>
  <c r="L52" i="1"/>
  <c r="N52" i="1"/>
  <c r="K52" i="1"/>
  <c r="N154" i="1"/>
  <c r="L154" i="1"/>
  <c r="L300" i="1"/>
  <c r="N300" i="1"/>
  <c r="N368" i="1"/>
  <c r="L368" i="1"/>
  <c r="K368" i="1"/>
  <c r="L407" i="1"/>
  <c r="N407" i="1"/>
  <c r="N448" i="1"/>
  <c r="L448" i="1"/>
  <c r="K448" i="1"/>
  <c r="K35" i="1"/>
  <c r="K39" i="1"/>
  <c r="L74" i="1"/>
  <c r="N74" i="1"/>
  <c r="L179" i="1"/>
  <c r="K179" i="1"/>
  <c r="N179" i="1"/>
  <c r="N202" i="1"/>
  <c r="L202" i="1"/>
  <c r="L242" i="1"/>
  <c r="K242" i="1"/>
  <c r="N256" i="1"/>
  <c r="K256" i="1"/>
  <c r="L256" i="1"/>
  <c r="N317" i="1"/>
  <c r="L317" i="1"/>
  <c r="K317" i="1"/>
  <c r="K331" i="1"/>
  <c r="N331" i="1"/>
  <c r="L331" i="1"/>
  <c r="K423" i="1"/>
  <c r="L423" i="1"/>
  <c r="L85" i="1"/>
  <c r="L83" i="1"/>
  <c r="K83" i="1"/>
  <c r="N83" i="1"/>
  <c r="N124" i="1"/>
  <c r="L124" i="1"/>
  <c r="N185" i="1"/>
  <c r="L185" i="1"/>
  <c r="L219" i="1"/>
  <c r="K219" i="1"/>
  <c r="N219" i="1"/>
  <c r="K48" i="1"/>
  <c r="N106" i="1"/>
  <c r="L106" i="1"/>
  <c r="L120" i="1"/>
  <c r="N120" i="1"/>
  <c r="K124" i="1"/>
  <c r="K146" i="1"/>
  <c r="N151" i="1"/>
  <c r="L151" i="1"/>
  <c r="K154" i="1"/>
  <c r="L169" i="1"/>
  <c r="K169" i="1"/>
  <c r="K185" i="1"/>
  <c r="L243" i="1"/>
  <c r="K243" i="1"/>
  <c r="N243" i="1"/>
  <c r="L247" i="1"/>
  <c r="N288" i="1"/>
  <c r="K288" i="1"/>
  <c r="K300" i="1"/>
  <c r="L322" i="1"/>
  <c r="N326" i="1"/>
  <c r="L326" i="1"/>
  <c r="K326" i="1"/>
  <c r="L373" i="1"/>
  <c r="K373" i="1"/>
  <c r="K378" i="1"/>
  <c r="K407" i="1"/>
  <c r="K413" i="1"/>
  <c r="L413" i="1"/>
  <c r="L438" i="1"/>
  <c r="K444" i="1"/>
  <c r="L444" i="1"/>
  <c r="N25" i="1"/>
  <c r="K33" i="1"/>
  <c r="N462" i="1"/>
  <c r="L462" i="1"/>
  <c r="K130" i="1"/>
  <c r="N3" i="1"/>
  <c r="K26" i="1"/>
  <c r="N33" i="1"/>
  <c r="L59" i="1"/>
  <c r="K72" i="1"/>
  <c r="N72" i="1"/>
  <c r="L72" i="1"/>
  <c r="N81" i="1"/>
  <c r="L81" i="1"/>
  <c r="K81" i="1"/>
  <c r="L90" i="1"/>
  <c r="K90" i="1"/>
  <c r="N98" i="1"/>
  <c r="K139" i="1"/>
  <c r="N139" i="1"/>
  <c r="K143" i="1"/>
  <c r="N143" i="1"/>
  <c r="L143" i="1"/>
  <c r="N166" i="1"/>
  <c r="L166" i="1"/>
  <c r="K166" i="1"/>
  <c r="L171" i="1"/>
  <c r="K195" i="1"/>
  <c r="N272" i="1"/>
  <c r="N306" i="1"/>
  <c r="L306" i="1"/>
  <c r="K306" i="1"/>
  <c r="L315" i="1"/>
  <c r="K315" i="1"/>
  <c r="N315" i="1"/>
  <c r="L329" i="1"/>
  <c r="K329" i="1"/>
  <c r="L352" i="1"/>
  <c r="L381" i="1"/>
  <c r="K381" i="1"/>
  <c r="L420" i="1"/>
  <c r="N420" i="1"/>
  <c r="K462" i="1"/>
  <c r="N70" i="1"/>
  <c r="L70" i="1"/>
  <c r="N180" i="1"/>
  <c r="K180" i="1"/>
  <c r="L180" i="1"/>
  <c r="L238" i="1"/>
  <c r="K238" i="1"/>
  <c r="K6" i="1"/>
  <c r="N248" i="1"/>
  <c r="L248" i="1"/>
  <c r="N429" i="1"/>
  <c r="L429" i="1"/>
  <c r="N45" i="1"/>
  <c r="L45" i="1"/>
  <c r="K45" i="1"/>
  <c r="K102" i="1"/>
  <c r="K141" i="1"/>
  <c r="K181" i="1"/>
  <c r="N181" i="1"/>
  <c r="L181" i="1"/>
  <c r="N239" i="1"/>
  <c r="L239" i="1"/>
  <c r="N297" i="1"/>
  <c r="K297" i="1"/>
  <c r="L297" i="1"/>
  <c r="N374" i="1"/>
  <c r="L374" i="1"/>
  <c r="K374" i="1"/>
  <c r="K409" i="1"/>
  <c r="N409" i="1"/>
  <c r="L409" i="1"/>
  <c r="L25" i="1"/>
  <c r="K137" i="1"/>
  <c r="K284" i="1"/>
  <c r="N403" i="1"/>
  <c r="K429" i="1"/>
  <c r="L29" i="1"/>
  <c r="K41" i="1"/>
  <c r="K3" i="1"/>
  <c r="N55" i="1"/>
  <c r="N95" i="1"/>
  <c r="K95" i="1"/>
  <c r="L95" i="1"/>
  <c r="K127" i="1"/>
  <c r="N134" i="1"/>
  <c r="L162" i="1"/>
  <c r="L184" i="1"/>
  <c r="K184" i="1"/>
  <c r="K192" i="1"/>
  <c r="N195" i="1"/>
  <c r="K218" i="1"/>
  <c r="L222" i="1"/>
  <c r="K222" i="1"/>
  <c r="L268" i="1"/>
  <c r="K299" i="1"/>
  <c r="K339" i="1"/>
  <c r="L416" i="1"/>
  <c r="N40" i="1"/>
  <c r="L40" i="1"/>
  <c r="K40" i="1"/>
  <c r="N439" i="1"/>
  <c r="L439" i="1"/>
  <c r="K439" i="1"/>
  <c r="K70" i="1"/>
  <c r="K175" i="1"/>
  <c r="L271" i="1"/>
  <c r="K271" i="1"/>
  <c r="K36" i="1"/>
  <c r="L147" i="1"/>
  <c r="N147" i="1"/>
  <c r="K147" i="1"/>
  <c r="K244" i="1"/>
  <c r="K54" i="1"/>
  <c r="L62" i="1"/>
  <c r="K107" i="1"/>
  <c r="L126" i="1"/>
  <c r="K126" i="1"/>
  <c r="N165" i="1"/>
  <c r="K165" i="1"/>
  <c r="N175" i="1"/>
  <c r="L244" i="1"/>
  <c r="K17" i="1"/>
  <c r="N36" i="1"/>
  <c r="N54" i="1"/>
  <c r="N62" i="1"/>
  <c r="K80" i="1"/>
  <c r="N347" i="1"/>
  <c r="K347" i="1"/>
  <c r="L347" i="1"/>
  <c r="N400" i="1"/>
  <c r="L400" i="1"/>
  <c r="K400" i="1"/>
  <c r="N30" i="1"/>
  <c r="L30" i="1"/>
  <c r="L37" i="1"/>
  <c r="K37" i="1"/>
  <c r="N37" i="1"/>
  <c r="L165" i="1"/>
  <c r="K272" i="1"/>
  <c r="K280" i="1"/>
  <c r="N280" i="1"/>
  <c r="L280" i="1"/>
  <c r="N343" i="1"/>
  <c r="K343" i="1"/>
  <c r="N425" i="1"/>
  <c r="K30" i="1"/>
  <c r="K55" i="1"/>
  <c r="K14" i="1"/>
  <c r="K22" i="1"/>
  <c r="N90" i="1"/>
  <c r="L167" i="1"/>
  <c r="K167" i="1"/>
  <c r="N167" i="1"/>
  <c r="L200" i="1"/>
  <c r="K200" i="1"/>
  <c r="L391" i="1"/>
  <c r="K391" i="1"/>
  <c r="L436" i="1"/>
  <c r="N436" i="1"/>
  <c r="K436" i="1"/>
  <c r="N458" i="1"/>
  <c r="L458" i="1"/>
  <c r="K458" i="1"/>
  <c r="N22" i="1"/>
  <c r="L51" i="1"/>
  <c r="K73" i="1"/>
  <c r="K82" i="1"/>
  <c r="K114" i="1"/>
  <c r="L135" i="1"/>
  <c r="K135" i="1"/>
  <c r="N135" i="1"/>
  <c r="N162" i="1"/>
  <c r="N196" i="1"/>
  <c r="L196" i="1"/>
  <c r="K196" i="1"/>
  <c r="L218" i="1"/>
  <c r="N282" i="1"/>
  <c r="L282" i="1"/>
  <c r="K282" i="1"/>
  <c r="L291" i="1"/>
  <c r="K291" i="1"/>
  <c r="N303" i="1"/>
  <c r="K303" i="1"/>
  <c r="K359" i="1"/>
  <c r="L359" i="1"/>
  <c r="L406" i="1"/>
  <c r="K406" i="1"/>
  <c r="N416" i="1"/>
  <c r="N16" i="1"/>
  <c r="L16" i="1"/>
  <c r="K16" i="1"/>
  <c r="K155" i="1"/>
  <c r="L155" i="1"/>
  <c r="N155" i="1"/>
  <c r="N424" i="1"/>
  <c r="L424" i="1"/>
  <c r="K424" i="1"/>
  <c r="L275" i="1"/>
  <c r="K403" i="1"/>
  <c r="K29" i="1"/>
  <c r="L102" i="1"/>
  <c r="K248" i="1"/>
  <c r="L21" i="1"/>
  <c r="K21" i="1"/>
  <c r="N93" i="1"/>
  <c r="L93" i="1"/>
  <c r="K93" i="1"/>
  <c r="N212" i="1"/>
  <c r="L212" i="1"/>
  <c r="K212" i="1"/>
  <c r="K239" i="1"/>
  <c r="N263" i="1"/>
  <c r="K263" i="1"/>
  <c r="L263" i="1"/>
  <c r="L276" i="1"/>
  <c r="K276" i="1"/>
  <c r="N276" i="1"/>
  <c r="K356" i="1"/>
  <c r="L41" i="1"/>
  <c r="K98" i="1"/>
  <c r="N138" i="1"/>
  <c r="L138" i="1"/>
  <c r="K138" i="1"/>
  <c r="N199" i="1"/>
  <c r="L199" i="1"/>
  <c r="L305" i="1"/>
  <c r="K305" i="1"/>
  <c r="L356" i="1"/>
  <c r="N395" i="1"/>
  <c r="L395" i="1"/>
  <c r="K425" i="1"/>
  <c r="L63" i="1"/>
  <c r="N63" i="1"/>
  <c r="N122" i="1"/>
  <c r="L122" i="1"/>
  <c r="K122" i="1"/>
  <c r="K171" i="1"/>
  <c r="K231" i="1"/>
  <c r="N4" i="1"/>
  <c r="L4" i="1"/>
  <c r="K4" i="1"/>
  <c r="L26" i="1"/>
  <c r="K86" i="1"/>
  <c r="N99" i="1"/>
  <c r="L99" i="1"/>
  <c r="K99" i="1"/>
  <c r="K134" i="1"/>
  <c r="L343" i="1"/>
  <c r="K68" i="1"/>
  <c r="L68" i="1"/>
  <c r="L86" i="1"/>
  <c r="N382" i="1"/>
  <c r="L382" i="1"/>
  <c r="L14" i="1"/>
  <c r="K51" i="1"/>
  <c r="N19" i="1"/>
  <c r="L19" i="1"/>
  <c r="N23" i="1"/>
  <c r="L23" i="1"/>
  <c r="K23" i="1"/>
  <c r="N82" i="1"/>
  <c r="N168" i="1"/>
  <c r="K168" i="1"/>
  <c r="L168" i="1"/>
  <c r="L178" i="1"/>
  <c r="N184" i="1"/>
  <c r="N206" i="1"/>
  <c r="K206" i="1"/>
  <c r="N222" i="1"/>
  <c r="N255" i="1"/>
  <c r="L255" i="1"/>
  <c r="K255" i="1"/>
  <c r="L260" i="1"/>
  <c r="K260" i="1"/>
  <c r="K308" i="1"/>
  <c r="N308" i="1"/>
  <c r="L308" i="1"/>
  <c r="L312" i="1"/>
  <c r="K312" i="1"/>
  <c r="K387" i="1"/>
  <c r="N387" i="1"/>
  <c r="L387" i="1"/>
  <c r="N417" i="1"/>
  <c r="L417" i="1"/>
  <c r="K417" i="1"/>
  <c r="N226" i="1"/>
  <c r="K226" i="1"/>
  <c r="K230" i="1"/>
  <c r="L230" i="1"/>
  <c r="L267" i="1"/>
  <c r="K267" i="1"/>
  <c r="N313" i="1"/>
  <c r="L313" i="1"/>
  <c r="L337" i="1"/>
  <c r="K337" i="1"/>
  <c r="N337" i="1"/>
  <c r="N363" i="1"/>
  <c r="L363" i="1"/>
  <c r="N398" i="1"/>
  <c r="K398" i="1"/>
  <c r="N451" i="1"/>
  <c r="K451" i="1"/>
  <c r="L89" i="1"/>
  <c r="N133" i="1"/>
  <c r="L133" i="1"/>
  <c r="L214" i="1"/>
  <c r="L333" i="1"/>
  <c r="L350" i="1"/>
  <c r="K350" i="1"/>
  <c r="N193" i="1"/>
  <c r="K193" i="1"/>
  <c r="K449" i="1"/>
  <c r="L449" i="1"/>
  <c r="K159" i="1"/>
  <c r="K186" i="1"/>
  <c r="N245" i="1"/>
  <c r="L245" i="1"/>
  <c r="L252" i="1"/>
  <c r="K252" i="1"/>
  <c r="L269" i="1"/>
  <c r="K269" i="1"/>
  <c r="N357" i="1"/>
  <c r="L357" i="1"/>
  <c r="K357" i="1"/>
  <c r="K49" i="1"/>
  <c r="K112" i="1"/>
  <c r="K177" i="1"/>
  <c r="N177" i="1"/>
  <c r="L193" i="1"/>
  <c r="K224" i="1"/>
  <c r="L237" i="1"/>
  <c r="K237" i="1"/>
  <c r="K285" i="1"/>
  <c r="L285" i="1"/>
  <c r="K396" i="1"/>
  <c r="L421" i="1"/>
  <c r="K421" i="1"/>
  <c r="N421" i="1"/>
  <c r="N449" i="1"/>
  <c r="K454" i="1"/>
  <c r="N216" i="1"/>
  <c r="L216" i="1"/>
  <c r="K216" i="1"/>
  <c r="L128" i="1"/>
  <c r="K128" i="1"/>
  <c r="L53" i="1"/>
  <c r="K53" i="1"/>
  <c r="N79" i="1"/>
  <c r="L79" i="1"/>
  <c r="K79" i="1"/>
  <c r="N128" i="1"/>
  <c r="L172" i="1"/>
  <c r="N182" i="1"/>
  <c r="L182" i="1"/>
  <c r="K182" i="1"/>
  <c r="L205" i="1"/>
  <c r="K205" i="1"/>
  <c r="L224" i="1"/>
  <c r="K245" i="1"/>
  <c r="N252" i="1"/>
  <c r="L281" i="1"/>
  <c r="K281" i="1"/>
  <c r="N294" i="1"/>
  <c r="L294" i="1"/>
  <c r="L319" i="1"/>
  <c r="K319" i="1"/>
  <c r="L328" i="1"/>
  <c r="N332" i="1"/>
  <c r="L332" i="1"/>
  <c r="N340" i="1"/>
  <c r="K340" i="1"/>
  <c r="K353" i="1"/>
  <c r="L362" i="1"/>
  <c r="K362" i="1"/>
  <c r="N375" i="1"/>
  <c r="L375" i="1"/>
  <c r="K375" i="1"/>
  <c r="L380" i="1"/>
  <c r="K380" i="1"/>
  <c r="N392" i="1"/>
  <c r="L392" i="1"/>
  <c r="K392" i="1"/>
  <c r="N414" i="1"/>
  <c r="L414" i="1"/>
  <c r="K435" i="1"/>
  <c r="N440" i="1"/>
  <c r="L440" i="1"/>
  <c r="K440" i="1"/>
  <c r="L454" i="1"/>
  <c r="K471" i="1"/>
  <c r="L471" i="1"/>
  <c r="N233" i="1"/>
  <c r="K233" i="1"/>
  <c r="L261" i="1"/>
  <c r="K261" i="1"/>
  <c r="N27" i="1"/>
  <c r="L27" i="1"/>
  <c r="L78" i="1"/>
  <c r="K78" i="1"/>
  <c r="N78" i="1"/>
  <c r="L108" i="1"/>
  <c r="K108" i="1"/>
  <c r="L116" i="1"/>
  <c r="K116" i="1"/>
  <c r="K204" i="1"/>
  <c r="K27" i="1"/>
  <c r="K67" i="1"/>
  <c r="N84" i="1"/>
  <c r="L84" i="1"/>
  <c r="N116" i="1"/>
  <c r="L67" i="1"/>
  <c r="N100" i="1"/>
  <c r="L100" i="1"/>
  <c r="K100" i="1"/>
  <c r="N125" i="1"/>
  <c r="L125" i="1"/>
  <c r="L129" i="1"/>
  <c r="K129" i="1"/>
  <c r="L136" i="1"/>
  <c r="K136" i="1"/>
  <c r="K144" i="1"/>
  <c r="K160" i="1"/>
  <c r="N172" i="1"/>
  <c r="K201" i="1"/>
  <c r="N266" i="1"/>
  <c r="K266" i="1"/>
  <c r="L266" i="1"/>
  <c r="L286" i="1"/>
  <c r="K286" i="1"/>
  <c r="N328" i="1"/>
  <c r="K349" i="1"/>
  <c r="N353" i="1"/>
  <c r="N371" i="1"/>
  <c r="L371" i="1"/>
  <c r="K384" i="1"/>
  <c r="N422" i="1"/>
  <c r="L422" i="1"/>
  <c r="K422" i="1"/>
  <c r="L435" i="1"/>
  <c r="N24" i="1"/>
  <c r="L24" i="1"/>
  <c r="K24" i="1"/>
  <c r="L149" i="1"/>
  <c r="K149" i="1"/>
  <c r="N225" i="1"/>
  <c r="L225" i="1"/>
  <c r="K225" i="1"/>
  <c r="N281" i="1"/>
  <c r="K294" i="1"/>
  <c r="K309" i="1"/>
  <c r="N316" i="1"/>
  <c r="L316" i="1"/>
  <c r="K332" i="1"/>
  <c r="N341" i="1"/>
  <c r="L341" i="1"/>
  <c r="K341" i="1"/>
  <c r="N376" i="1"/>
  <c r="L376" i="1"/>
  <c r="K376" i="1"/>
  <c r="N393" i="1"/>
  <c r="L393" i="1"/>
  <c r="N397" i="1"/>
  <c r="L397" i="1"/>
  <c r="K397" i="1"/>
  <c r="K414" i="1"/>
  <c r="N441" i="1"/>
  <c r="L441" i="1"/>
  <c r="K441" i="1"/>
  <c r="N455" i="1"/>
  <c r="L455" i="1"/>
  <c r="N365" i="1"/>
  <c r="N390" i="1"/>
  <c r="L405" i="1"/>
  <c r="K405" i="1"/>
  <c r="N445" i="1"/>
  <c r="L453" i="1"/>
  <c r="K453" i="1"/>
  <c r="N157" i="1"/>
  <c r="L157" i="1"/>
  <c r="N228" i="1"/>
  <c r="L228" i="1"/>
  <c r="N258" i="1"/>
  <c r="L258" i="1"/>
  <c r="N338" i="1"/>
  <c r="L338" i="1"/>
  <c r="L469" i="1"/>
  <c r="K469" i="1"/>
  <c r="N148" i="1"/>
  <c r="L148" i="1"/>
  <c r="K148" i="1"/>
  <c r="N176" i="1"/>
  <c r="L176" i="1"/>
  <c r="K176" i="1"/>
  <c r="L389" i="1"/>
  <c r="K389" i="1"/>
  <c r="N411" i="1"/>
  <c r="L411" i="1"/>
  <c r="N273" i="1"/>
  <c r="L273" i="1"/>
  <c r="K273" i="1"/>
  <c r="N354" i="1"/>
  <c r="L354" i="1"/>
  <c r="K354" i="1"/>
  <c r="L104" i="1"/>
  <c r="L118" i="1"/>
  <c r="L145" i="1"/>
  <c r="K145" i="1"/>
  <c r="L437" i="1"/>
  <c r="K437" i="1"/>
  <c r="N456" i="1"/>
  <c r="L456" i="1"/>
  <c r="K456" i="1"/>
  <c r="L43" i="1"/>
  <c r="L56" i="1"/>
  <c r="L111" i="1"/>
  <c r="N295" i="1"/>
  <c r="L295" i="1"/>
  <c r="N59" i="1"/>
  <c r="K210" i="1"/>
  <c r="K223" i="1"/>
  <c r="L240" i="1"/>
  <c r="K240" i="1"/>
  <c r="K253" i="1"/>
  <c r="K292" i="1"/>
  <c r="L307" i="1"/>
  <c r="L327" i="1"/>
  <c r="L358" i="1"/>
  <c r="K404" i="1"/>
  <c r="N408" i="1"/>
  <c r="L408" i="1"/>
  <c r="K408" i="1"/>
  <c r="K426" i="1"/>
  <c r="L433" i="1"/>
  <c r="K464" i="1"/>
  <c r="N472" i="1"/>
  <c r="L472" i="1"/>
  <c r="K472" i="1"/>
  <c r="N323" i="1"/>
  <c r="L323" i="1"/>
  <c r="K323" i="1"/>
  <c r="N379" i="1"/>
  <c r="L379" i="1"/>
  <c r="L460" i="1"/>
  <c r="K460" i="1"/>
  <c r="L173" i="1"/>
  <c r="K173" i="1"/>
  <c r="N213" i="1"/>
  <c r="L213" i="1"/>
  <c r="L97" i="1"/>
  <c r="K97" i="1"/>
  <c r="L60" i="1"/>
  <c r="N119" i="1"/>
  <c r="L119" i="1"/>
  <c r="K119" i="1"/>
  <c r="N145" i="1"/>
  <c r="N173" i="1"/>
  <c r="L191" i="1"/>
  <c r="K191" i="1"/>
  <c r="K213" i="1"/>
  <c r="L270" i="1"/>
  <c r="K270" i="1"/>
  <c r="K295" i="1"/>
  <c r="L298" i="1"/>
  <c r="L320" i="1"/>
  <c r="K320" i="1"/>
  <c r="K344" i="1"/>
  <c r="L351" i="1"/>
  <c r="K351" i="1"/>
  <c r="N433" i="1"/>
  <c r="N437" i="1"/>
  <c r="K452" i="1"/>
  <c r="L427" i="1"/>
  <c r="L443" i="1"/>
  <c r="L459" i="1"/>
  <c r="M312" i="1" l="1"/>
  <c r="M301" i="1" l="1"/>
  <c r="M283" i="1"/>
  <c r="M317" i="1"/>
  <c r="M316" i="1"/>
  <c r="M315" i="1"/>
  <c r="M4" i="1"/>
  <c r="M318" i="1" l="1"/>
  <c r="M265" i="1" l="1"/>
  <c r="M58" i="1"/>
  <c r="M298" i="1"/>
  <c r="M293" i="1" l="1"/>
  <c r="M337" i="1"/>
  <c r="M294" i="1"/>
  <c r="M63" i="1" l="1"/>
  <c r="M279" i="1"/>
  <c r="M362" i="1" l="1"/>
  <c r="M281" i="1"/>
  <c r="M304" i="1" l="1"/>
  <c r="M282" i="1"/>
  <c r="M296" i="1" l="1"/>
  <c r="M202" i="1"/>
  <c r="M203" i="1"/>
  <c r="M276" i="1" l="1"/>
  <c r="M237" i="1"/>
  <c r="M189" i="1"/>
  <c r="M65" i="1" l="1"/>
  <c r="M195" i="1"/>
  <c r="M190" i="1"/>
  <c r="M212" i="1" l="1"/>
  <c r="M311" i="1"/>
  <c r="M177" i="1"/>
  <c r="M196" i="1"/>
  <c r="M243" i="1" l="1"/>
  <c r="M211" i="1"/>
  <c r="M340" i="1"/>
  <c r="M244" i="1" l="1"/>
  <c r="M330" i="1"/>
  <c r="M168" i="1" l="1"/>
  <c r="M218" i="1"/>
  <c r="M235" i="1" l="1"/>
  <c r="M206" i="1"/>
  <c r="M236" i="1" l="1"/>
  <c r="M277" i="1" l="1"/>
  <c r="M72" i="1" l="1"/>
</calcChain>
</file>

<file path=xl/sharedStrings.xml><?xml version="1.0" encoding="utf-8"?>
<sst xmlns="http://schemas.openxmlformats.org/spreadsheetml/2006/main" count="1880" uniqueCount="869">
  <si>
    <t>S.No</t>
  </si>
  <si>
    <t>Source Sheet</t>
  </si>
  <si>
    <t>Date</t>
  </si>
  <si>
    <t>Invoice No</t>
  </si>
  <si>
    <t>CUSTOMER NAME</t>
  </si>
  <si>
    <t>Invoice Amount</t>
  </si>
  <si>
    <t>Due Date</t>
  </si>
  <si>
    <t>Paid Amount</t>
  </si>
  <si>
    <t>Outstanding Amount</t>
  </si>
  <si>
    <t>Days Overdue</t>
  </si>
  <si>
    <t>Aging Bucket</t>
  </si>
  <si>
    <t>Risk Level</t>
  </si>
  <si>
    <t>Remarks</t>
  </si>
  <si>
    <t xml:space="preserve"> Status</t>
  </si>
  <si>
    <t>Praveen</t>
  </si>
  <si>
    <t>C-SLG/2384/25-26</t>
  </si>
  <si>
    <t>AMBIKA STATIONERY</t>
  </si>
  <si>
    <t>C-SLG/1844/25-26</t>
  </si>
  <si>
    <t>BEST ENTERPRISES</t>
  </si>
  <si>
    <t>Customer Out of Station - Month end he will Pay</t>
  </si>
  <si>
    <t>C-SLG/2429/25-26</t>
  </si>
  <si>
    <t>Bhavani Stationery and Gift</t>
  </si>
  <si>
    <t>Paid by Cheque</t>
  </si>
  <si>
    <t>C-SLG/0125/26-27</t>
  </si>
  <si>
    <t>C-SLG/2427/25-26</t>
  </si>
  <si>
    <t>Dachapally Book Centre</t>
  </si>
  <si>
    <t>No Number available - Send DSO</t>
  </si>
  <si>
    <t>C-SLG/1655/25-26</t>
  </si>
  <si>
    <t>Deccan Book Depot and Stationery</t>
  </si>
  <si>
    <t>Paid Online</t>
  </si>
  <si>
    <t>C-SLG/2235/25-26</t>
  </si>
  <si>
    <t>Paid in Cash</t>
  </si>
  <si>
    <t>C-SLG/2344/25-26</t>
  </si>
  <si>
    <t>Dilip Super Market (Manikonda)</t>
  </si>
  <si>
    <t>Next month send DSO for Cash - Customer Out of Station</t>
  </si>
  <si>
    <t>C-SLG/2432/25-25</t>
  </si>
  <si>
    <t>Ever Green Book Centre</t>
  </si>
  <si>
    <t>Number Busy</t>
  </si>
  <si>
    <t>C-SLG/0029/26-27</t>
  </si>
  <si>
    <t>C-SLG/2419/25-26</t>
  </si>
  <si>
    <t>GLOBAL STATIONERY</t>
  </si>
  <si>
    <t>C-SLG/2385/25-26</t>
  </si>
  <si>
    <t>GS Enterprises</t>
  </si>
  <si>
    <t>Number Not Avilable</t>
  </si>
  <si>
    <t>C-SLG/2351/25-26</t>
  </si>
  <si>
    <t>Hasti Stationery Mart (Madhapur)</t>
  </si>
  <si>
    <t>C-SLG/2443/25-26</t>
  </si>
  <si>
    <t>C-SLG/631/24-25</t>
  </si>
  <si>
    <t>Hyderabad Communications</t>
  </si>
  <si>
    <t>Bad Debt</t>
  </si>
  <si>
    <t>C-SLG/800/24-25</t>
  </si>
  <si>
    <t>C-SLG/979/24-25</t>
  </si>
  <si>
    <t>C-SLG/0018/26-27</t>
  </si>
  <si>
    <t>JAGDISH BOOK CENTRE</t>
  </si>
  <si>
    <t>C-SLG/0049/26-27</t>
  </si>
  <si>
    <t>Jaya Stationery &amp; Engg Co</t>
  </si>
  <si>
    <t>C-SLG/0099/26-27</t>
  </si>
  <si>
    <t>C-SLG/1203/25-26</t>
  </si>
  <si>
    <t>Kaanuka Collection</t>
  </si>
  <si>
    <t>Credit Note</t>
  </si>
  <si>
    <t>C-SLG/0141/26-27</t>
  </si>
  <si>
    <t>C-SLG/0142/26-27</t>
  </si>
  <si>
    <t>C-SLG/0143/26-27</t>
  </si>
  <si>
    <t>C-SLG/1754/25-26</t>
  </si>
  <si>
    <t>KITSONS-GACHIBOWLI</t>
  </si>
  <si>
    <t>C-SLG/2369/25-26</t>
  </si>
  <si>
    <t>C-SLG/2398/25-26</t>
  </si>
  <si>
    <t>Bounce Charges-204</t>
  </si>
  <si>
    <t>KRANTI BOOK HOUSE</t>
  </si>
  <si>
    <t>C-SLG/2402/25-26</t>
  </si>
  <si>
    <t>Life Stationery (Bnj Hills)</t>
  </si>
  <si>
    <t>Not Responding</t>
  </si>
  <si>
    <t>C-SLG/2494/25-26</t>
  </si>
  <si>
    <t>Mahalaxmi  Enterprises</t>
  </si>
  <si>
    <t>C-SLG/2440/25-26</t>
  </si>
  <si>
    <t>MARUTHI ENTERPRISES</t>
  </si>
  <si>
    <t>Send DSO on Saturday for Payment Collection</t>
  </si>
  <si>
    <t>C-SLG/2409/25-26</t>
  </si>
  <si>
    <t>MASTER SAAB STATIONARY</t>
  </si>
  <si>
    <t>C-SLG/1619/25-26</t>
  </si>
  <si>
    <t>Nagesh Stationery &amp; Xerox</t>
  </si>
  <si>
    <t>Customer Out of Station | Friday/Saturday - Stock Return</t>
  </si>
  <si>
    <t>C-SLG/2389/25-26</t>
  </si>
  <si>
    <t>NavDurga Stationery</t>
  </si>
  <si>
    <t>Customer is saying NO outstanding - Send DSO</t>
  </si>
  <si>
    <t>C-SLG/2311/25-26</t>
  </si>
  <si>
    <t>New Vidya Book Point  (Alkapur)</t>
  </si>
  <si>
    <t>C-SLG/2480/25-26</t>
  </si>
  <si>
    <t>C-SLG/2142/25-26</t>
  </si>
  <si>
    <t>Popular Book House</t>
  </si>
  <si>
    <t>C-SLG/2348/25-26</t>
  </si>
  <si>
    <t>Send DSO with Signed Copies</t>
  </si>
  <si>
    <t>C-SLG/1122/25-26</t>
  </si>
  <si>
    <t>RADIANT BOOK HOUSE</t>
  </si>
  <si>
    <t>C-SLG/2222/25-26</t>
  </si>
  <si>
    <t>R.B.Novelty</t>
  </si>
  <si>
    <t>C-SLG/1791/25-26</t>
  </si>
  <si>
    <t>Reliable Book Centre</t>
  </si>
  <si>
    <t>Next Month</t>
  </si>
  <si>
    <t>C-SLG/2005/25-26</t>
  </si>
  <si>
    <t>C-SLG/2102/25-26</t>
  </si>
  <si>
    <t>RR HOSIPATALITY SERVICES</t>
  </si>
  <si>
    <t>Stock Returned</t>
  </si>
  <si>
    <t>C-SLG/2298/25-26</t>
  </si>
  <si>
    <t>Sai Vaishnavi Book Agency</t>
  </si>
  <si>
    <t>Sent Scanner on Whatsapp</t>
  </si>
  <si>
    <t>C-SLG/2269/25-26</t>
  </si>
  <si>
    <t>Shiva Book Stall</t>
  </si>
  <si>
    <t>C-SLG/0061/26-27</t>
  </si>
  <si>
    <t>SHRI SHARADA  BOOK DISTRIBUTERS</t>
  </si>
  <si>
    <t>C-SLG/2179/25-26</t>
  </si>
  <si>
    <t>SIDDHARTHA STATIONERY &amp; ELECRTRICAL</t>
  </si>
  <si>
    <t>C-SLG/1620/25-26</t>
  </si>
  <si>
    <t>SREE VENKATESHWARA PUBLISHERS</t>
  </si>
  <si>
    <t>After 10d Collect Payment</t>
  </si>
  <si>
    <t>C-SLG/1718/25-26</t>
  </si>
  <si>
    <t>C-SLG/1773/25-26</t>
  </si>
  <si>
    <t>C-SLG/2108/25-26</t>
  </si>
  <si>
    <t>C-SLG/2148/25-26</t>
  </si>
  <si>
    <t>SRI RAKHI BOOK CENTER</t>
  </si>
  <si>
    <t>Send DSO for Stock Return Collection</t>
  </si>
  <si>
    <t>C-SLG/1902/25-26</t>
  </si>
  <si>
    <t>Sri Shyam Enterprises</t>
  </si>
  <si>
    <t>C-SLG/0050/26-27</t>
  </si>
  <si>
    <t>SRI VENKTESHWARA BOOK HOUSE</t>
  </si>
  <si>
    <t>C-SLG/2425/25-26</t>
  </si>
  <si>
    <t>SRI VIDYA SARASWATI COLLECTION</t>
  </si>
  <si>
    <t>Not Called</t>
  </si>
  <si>
    <t>C-SLG/0027/26-27</t>
  </si>
  <si>
    <t>C-SLG/0070/26-27</t>
  </si>
  <si>
    <t>C-SLG/2197/25-26</t>
  </si>
  <si>
    <t>Stationey Xerox</t>
  </si>
  <si>
    <t>Not responding</t>
  </si>
  <si>
    <t>C-SLG/2430/25-26</t>
  </si>
  <si>
    <t>THE DECCAN PEN STORE</t>
  </si>
  <si>
    <t>C-SLG/002/26-27</t>
  </si>
  <si>
    <t>C-SLG/2445/25-26</t>
  </si>
  <si>
    <t>TRIBHUVAN BOOKS &amp; STATIONERY</t>
  </si>
  <si>
    <t>C-SLG/0055/26-27</t>
  </si>
  <si>
    <t>T.V Gupta</t>
  </si>
  <si>
    <t>C-SLG/0063/26-27</t>
  </si>
  <si>
    <t>United Paper &amp; Stationery</t>
  </si>
  <si>
    <t>C-SLG/1597/25-26</t>
  </si>
  <si>
    <t>Universal Book Shop</t>
  </si>
  <si>
    <t>He will Pay in 2 days</t>
  </si>
  <si>
    <t>C-SLG/2013/25-26</t>
  </si>
  <si>
    <t>C-SLG/2408/25-26</t>
  </si>
  <si>
    <t>Vidya Book Poin't</t>
  </si>
  <si>
    <t>C-SLG/2187/25-26</t>
  </si>
  <si>
    <t>Vidya Book Point(Vijaynagar Colony)</t>
  </si>
  <si>
    <t>C-SLG/2345/25-26</t>
  </si>
  <si>
    <t>C-SLG/2313/25-26</t>
  </si>
  <si>
    <t>VIDYA COLLECTION</t>
  </si>
  <si>
    <t>C-SLG/2246/25-26</t>
  </si>
  <si>
    <t>Vidya Collection (New)</t>
  </si>
  <si>
    <t>C-SLG/2254/25-26</t>
  </si>
  <si>
    <t>C-SLG/2312/25-26</t>
  </si>
  <si>
    <t>VIJAYALAKSHMI ENTERPRISES</t>
  </si>
  <si>
    <t>C-SLG/2397/25-26</t>
  </si>
  <si>
    <t>WITTYSHOP INDIA</t>
  </si>
  <si>
    <t>C-SLG/1879/25-26</t>
  </si>
  <si>
    <t>YADA LAXMAIAH BOOK SELLERS &amp; STATIONERY</t>
  </si>
  <si>
    <t>2026-05-19</t>
  </si>
  <si>
    <t>C-SLG/0145/26-27</t>
  </si>
  <si>
    <t>CENTRAL WATCH CO.</t>
  </si>
  <si>
    <t>2026-06-13</t>
  </si>
  <si>
    <t>2026-04-29</t>
  </si>
  <si>
    <t>C-SLG/0078/26-27</t>
  </si>
  <si>
    <t>Sarita Agencies</t>
  </si>
  <si>
    <t>2026-05-24</t>
  </si>
  <si>
    <t>C-SLG/0074/26-27</t>
  </si>
  <si>
    <t>Sharadha Book Point</t>
  </si>
  <si>
    <t>C-SLG/0073/26-27</t>
  </si>
  <si>
    <t>SV. AUGUST 15TH</t>
  </si>
  <si>
    <t>2026-05-13</t>
  </si>
  <si>
    <t>C-SLG/0119/26-27</t>
  </si>
  <si>
    <t>VENUS WATCH AGENCIES</t>
  </si>
  <si>
    <t>2026-06-07</t>
  </si>
  <si>
    <t>2026-05-21</t>
  </si>
  <si>
    <t>C-SLG/0156/26-27</t>
  </si>
  <si>
    <t>2026-06-15</t>
  </si>
  <si>
    <t>C-SLG/0144/26-27</t>
  </si>
  <si>
    <t>C-SLG/0154/26-27</t>
  </si>
  <si>
    <t>C-SLG/0147/26-27</t>
  </si>
  <si>
    <t>C-SLG/0076/26-27</t>
  </si>
  <si>
    <t>Lakshmi Bhavani Stationary</t>
  </si>
  <si>
    <t>C-SLG/0110/26-27</t>
  </si>
  <si>
    <t>POOJA STATIONERY SPORTS &amp; GIFTS</t>
  </si>
  <si>
    <t>C-SLG/0075/26-27</t>
  </si>
  <si>
    <t>RAJ KUMAR STATIONERY</t>
  </si>
  <si>
    <t>C-SLG/0081/26-27</t>
  </si>
  <si>
    <t>SM COLLECTIONS(Universal)</t>
  </si>
  <si>
    <t>Bounce Charges-2046</t>
  </si>
  <si>
    <t>C-SLG/0173/26-27</t>
  </si>
  <si>
    <t>KRISHNA STATIONERY MART</t>
  </si>
  <si>
    <t>C-SLG/0168/26-27</t>
  </si>
  <si>
    <t>Maruthi Watch &amp; Electronoics</t>
  </si>
  <si>
    <t>Bounce Charges-2041</t>
  </si>
  <si>
    <t>388</t>
  </si>
  <si>
    <t>C-SLG/1373/24-25</t>
  </si>
  <si>
    <t>389</t>
  </si>
  <si>
    <t>C-SLG/00166/25-26</t>
  </si>
  <si>
    <t>390</t>
  </si>
  <si>
    <t>C-SLG/1813/25-26</t>
  </si>
  <si>
    <t>391</t>
  </si>
  <si>
    <t>C-SLG/1877/25-26</t>
  </si>
  <si>
    <t>392</t>
  </si>
  <si>
    <t>C-SLG/2243/25-26</t>
  </si>
  <si>
    <t>393</t>
  </si>
  <si>
    <t>C-SLG/0034/26-27</t>
  </si>
  <si>
    <t>394</t>
  </si>
  <si>
    <t>C-SLG/0111/26-27</t>
  </si>
  <si>
    <t>395</t>
  </si>
  <si>
    <t>C-SLG/0112/26-27</t>
  </si>
  <si>
    <t>424</t>
  </si>
  <si>
    <t>C-SLG/0085/26-27</t>
  </si>
  <si>
    <t>432</t>
  </si>
  <si>
    <t>C-SLG/0185/26-27</t>
  </si>
  <si>
    <t>471</t>
  </si>
  <si>
    <t>C-SLG/0181/26-27</t>
  </si>
  <si>
    <t>472</t>
  </si>
  <si>
    <t>C-SLG/0088/26-27</t>
  </si>
  <si>
    <t>YUZEN HYGIENE CARE PRODUCTS</t>
  </si>
  <si>
    <t>Friend of Sir</t>
  </si>
  <si>
    <t>Watches</t>
  </si>
  <si>
    <t>SLGCW/46/26-27</t>
  </si>
  <si>
    <t>C. Ramchander Watch Co.</t>
  </si>
  <si>
    <t>We need to give Credit Note</t>
  </si>
  <si>
    <t>SLGCW/1077/24-25</t>
  </si>
  <si>
    <t>KHALEEL WATCH CO.</t>
  </si>
  <si>
    <t>Sponge Not recived - Send DSO</t>
  </si>
  <si>
    <t>SLGCW/1035/25-26</t>
  </si>
  <si>
    <t>SLGCW/969/25-26</t>
  </si>
  <si>
    <t>KISHORE WATCH CO</t>
  </si>
  <si>
    <t>Bill not available</t>
  </si>
  <si>
    <t>SLGCW/25/26-27</t>
  </si>
  <si>
    <t>SLGCW/51/26-27</t>
  </si>
  <si>
    <t>SLGCW/59/26-27</t>
  </si>
  <si>
    <t>SLGCW/15/26-27</t>
  </si>
  <si>
    <t>Maruti watche &amp; electronics</t>
  </si>
  <si>
    <t>SLGCW/40/26-27</t>
  </si>
  <si>
    <t>SLGCW/53/26-27</t>
  </si>
  <si>
    <t>SLGCW/61/26-27</t>
  </si>
  <si>
    <t>SLGCW/65/26-27</t>
  </si>
  <si>
    <t>SLGCW/67/26-27</t>
  </si>
  <si>
    <t>SLGCW/1043/24-25</t>
  </si>
  <si>
    <t>MILAP GENERAL STORES</t>
  </si>
  <si>
    <t>Not Lifting Call</t>
  </si>
  <si>
    <t>SLGCW/1061/24-25</t>
  </si>
  <si>
    <t>SLGCW/58/26-27</t>
  </si>
  <si>
    <t>NAZEER &amp; SONS</t>
  </si>
  <si>
    <t>SLGCW/62/26-27</t>
  </si>
  <si>
    <t>Customer says Cheque already Paid - Tally Issue</t>
  </si>
  <si>
    <t>SLGCW/898/24-25</t>
  </si>
  <si>
    <t>RAMESH WATCH CO PVT LTD K-INORBIT</t>
  </si>
  <si>
    <t>Issue</t>
  </si>
  <si>
    <t>SLGCW/1138/25-26</t>
  </si>
  <si>
    <t>DSO will collect</t>
  </si>
  <si>
    <t>SLGCW/1150/25-26</t>
  </si>
  <si>
    <t>SLGCW/1147/25-26</t>
  </si>
  <si>
    <t>SLGCW/1149/25-26</t>
  </si>
  <si>
    <t>SLGCW/1188/25-26</t>
  </si>
  <si>
    <t>SLGCW/1226/25-26</t>
  </si>
  <si>
    <t>SLGCW/1233/25-26</t>
  </si>
  <si>
    <t>SLGCW/1235/25-26</t>
  </si>
  <si>
    <t>SLGCW/1236/25-26</t>
  </si>
  <si>
    <t>SLGCW/1247/25-26</t>
  </si>
  <si>
    <t>SLGCW/1/26-27</t>
  </si>
  <si>
    <t>SLGCW/2/26-27</t>
  </si>
  <si>
    <t>SLGCW/3/26-27</t>
  </si>
  <si>
    <t>SLGCW/4/26-27</t>
  </si>
  <si>
    <t>SLGCW/5/26-27</t>
  </si>
  <si>
    <t>SLGCW/6/26-27</t>
  </si>
  <si>
    <t>SLGCW/7/26-27</t>
  </si>
  <si>
    <t>SLGCW/8/26-27</t>
  </si>
  <si>
    <t>SLGCW/22/26-27</t>
  </si>
  <si>
    <t>SLGCW/23/26-27</t>
  </si>
  <si>
    <t>SLGCW/28/26-27</t>
  </si>
  <si>
    <t>SLGCW/29/26-27</t>
  </si>
  <si>
    <t>SLGCW/30/26-27</t>
  </si>
  <si>
    <t>SLGCW/31/26-27</t>
  </si>
  <si>
    <t>SLGCW/32/26-27</t>
  </si>
  <si>
    <t>SLGCW/33/26-27</t>
  </si>
  <si>
    <t>SLGCW/35/26-27</t>
  </si>
  <si>
    <t>SLGCW/37/26-27</t>
  </si>
  <si>
    <t>SLGCW/36/26-27</t>
  </si>
  <si>
    <t>SLGCW/42/26-27</t>
  </si>
  <si>
    <t>SLGCW/50/26-27</t>
  </si>
  <si>
    <t>SLGCW/60/26-27</t>
  </si>
  <si>
    <t>SLGCW/969/24-25</t>
  </si>
  <si>
    <t>RAVINDRA WATCH REPAIR</t>
  </si>
  <si>
    <t>Old Credit Issue</t>
  </si>
  <si>
    <t>SLGCW/768/25-26</t>
  </si>
  <si>
    <t>SLGCW/41/26-27</t>
  </si>
  <si>
    <t>Siddi Times &amp; Electronics</t>
  </si>
  <si>
    <t>SLGCW/1263/25-26</t>
  </si>
  <si>
    <t>SS WATCHES AND SUNGLASSES</t>
  </si>
  <si>
    <t>SLGCW/18/26-27</t>
  </si>
  <si>
    <t>Sunny Watch</t>
  </si>
  <si>
    <t>SLGCW/56/26-27</t>
  </si>
  <si>
    <t>SLGCW/20/26-27</t>
  </si>
  <si>
    <t>THE TIMES</t>
  </si>
  <si>
    <t>SLGCW/70/26-27</t>
  </si>
  <si>
    <t>2026-05-20</t>
  </si>
  <si>
    <t>2026-01-30</t>
  </si>
  <si>
    <t>SLGCW/1177/25-26</t>
  </si>
  <si>
    <t>COUNTER SALE</t>
  </si>
  <si>
    <t>2026-01-31</t>
  </si>
  <si>
    <t>2026-02-05</t>
  </si>
  <si>
    <t>SLGCW/1193/25-26</t>
  </si>
  <si>
    <t>2026-02-06</t>
  </si>
  <si>
    <t>2026-05-02</t>
  </si>
  <si>
    <t>SLGCW/47/26-27</t>
  </si>
  <si>
    <t>2026-05-03</t>
  </si>
  <si>
    <t>SLGCW/48/26-27</t>
  </si>
  <si>
    <t>2026-05-11</t>
  </si>
  <si>
    <t>SLGCW/63/26-27</t>
  </si>
  <si>
    <t>2026-05-12</t>
  </si>
  <si>
    <t>2026-05-15</t>
  </si>
  <si>
    <t>SLGCW/66/26-27</t>
  </si>
  <si>
    <t>2026-05-16</t>
  </si>
  <si>
    <t>2026-04-30</t>
  </si>
  <si>
    <t>SLGCW/43/26-27</t>
  </si>
  <si>
    <t>INDIAN WATCH CO AND OPTICALS</t>
  </si>
  <si>
    <t>2026-05-30</t>
  </si>
  <si>
    <t>2026-04-27</t>
  </si>
  <si>
    <t>SLGCW/26/26-27</t>
  </si>
  <si>
    <t>labdhi watche&amp;premium</t>
  </si>
  <si>
    <t>2026-05-27</t>
  </si>
  <si>
    <t>SLGCW/39/26-27</t>
  </si>
  <si>
    <t>SLGCW/57/26-27</t>
  </si>
  <si>
    <t>2026-06-01</t>
  </si>
  <si>
    <t>2026-04-24</t>
  </si>
  <si>
    <t>SLGCW/17/26-27</t>
  </si>
  <si>
    <t>Navkar Watch &amp; Premium</t>
  </si>
  <si>
    <t>SLGCW/55/26-27</t>
  </si>
  <si>
    <t>SLGCW/16/26-27</t>
  </si>
  <si>
    <t>RAMDEV WATCH CO.</t>
  </si>
  <si>
    <t>SLGCW/54/26-27</t>
  </si>
  <si>
    <t>SLGCW/64/26-27</t>
  </si>
  <si>
    <t>2026-06-14</t>
  </si>
  <si>
    <t>SLGCW/78/26-27</t>
  </si>
  <si>
    <t>2026-05-22</t>
  </si>
  <si>
    <t>SLGCW/83/26-27</t>
  </si>
  <si>
    <t>2026-05-23</t>
  </si>
  <si>
    <t>SLGCW/81/26-27</t>
  </si>
  <si>
    <t>2026-07-06</t>
  </si>
  <si>
    <t>SLGCW/79/26-27</t>
  </si>
  <si>
    <t>SLGCW/84/26-27</t>
  </si>
  <si>
    <t>SLGCW/74/26-27</t>
  </si>
  <si>
    <t>2026-06-19</t>
  </si>
  <si>
    <t>SLGCW/71/26-27</t>
  </si>
  <si>
    <t>SLGCW/75/26-27</t>
  </si>
  <si>
    <t>SLGCW/76/26-27</t>
  </si>
  <si>
    <t>SLGCW/80/26-27</t>
  </si>
  <si>
    <t>SLGCW/82/26-27</t>
  </si>
  <si>
    <t>SLGCW/85/26-27</t>
  </si>
  <si>
    <t>SLGCW/86/26-27</t>
  </si>
  <si>
    <t>Mujahid</t>
  </si>
  <si>
    <t>Bounce Charges-429</t>
  </si>
  <si>
    <t>BAGARIA AGENCIES</t>
  </si>
  <si>
    <t>Old Issue</t>
  </si>
  <si>
    <t>C-SLG/2322/25-26</t>
  </si>
  <si>
    <t>Sample Piece to MJ</t>
  </si>
  <si>
    <t>Bounce Charges-803</t>
  </si>
  <si>
    <t>BALAJI ENTERPRISES</t>
  </si>
  <si>
    <t>Customer Paid</t>
  </si>
  <si>
    <t>Bounce Charges-168</t>
  </si>
  <si>
    <t>C-SLG/0127/26-27</t>
  </si>
  <si>
    <t>C-SLG/2438/25-26</t>
  </si>
  <si>
    <t>BANNU ENTERPRISES</t>
  </si>
  <si>
    <t>DSO will Collect</t>
  </si>
  <si>
    <t>Bounce Charges-2567</t>
  </si>
  <si>
    <t>DHANLAKSHMI ENTERPRISES</t>
  </si>
  <si>
    <t>C-SLG/1915/25-26</t>
  </si>
  <si>
    <t>Dynamic Computer &amp; Stationery</t>
  </si>
  <si>
    <t>Vendor</t>
  </si>
  <si>
    <t>C-SLG/1933/25-26</t>
  </si>
  <si>
    <t>C-SLG/1938/25-26</t>
  </si>
  <si>
    <t>C-SLG/2380/25-26</t>
  </si>
  <si>
    <t>C-SLG/2461/25-26</t>
  </si>
  <si>
    <t>C-SLG/0042/26-27</t>
  </si>
  <si>
    <t>C-SLG/0121/26-27</t>
  </si>
  <si>
    <t>C-SLG/0134/26-27</t>
  </si>
  <si>
    <t>C-SLG/1781/25-26</t>
  </si>
  <si>
    <t>K D M MARKETING</t>
  </si>
  <si>
    <t>C-SLG/0030/26-27</t>
  </si>
  <si>
    <t>C-SLG/2490/25-26</t>
  </si>
  <si>
    <t>Mahadev Stationers</t>
  </si>
  <si>
    <t>Paid Cheque - Full Amt</t>
  </si>
  <si>
    <t>C-SLG/0057/26-27</t>
  </si>
  <si>
    <t>Nandi Arts Stationery</t>
  </si>
  <si>
    <t>C-SLG/0072/26-27</t>
  </si>
  <si>
    <t>C-SLG/2418/25-26</t>
  </si>
  <si>
    <t>Narender Stationary</t>
  </si>
  <si>
    <t>Sample Piece Issue</t>
  </si>
  <si>
    <t>C-SLG/0068/26-27</t>
  </si>
  <si>
    <t>N. PRIYA STATIONARY</t>
  </si>
  <si>
    <t>C-SLG/2417/25-26</t>
  </si>
  <si>
    <t>PAVAN STATIONERY MART</t>
  </si>
  <si>
    <t>C-SLG/2325/25-26</t>
  </si>
  <si>
    <t>RAHUL STATIONERS</t>
  </si>
  <si>
    <t>C-SLG/2395/25-26</t>
  </si>
  <si>
    <t>RAJKAMAL AGENCIES</t>
  </si>
  <si>
    <t>Send DSO on Monday for Cheque Collection</t>
  </si>
  <si>
    <t>Bounce Charges-2661</t>
  </si>
  <si>
    <t>C-SLG/0107/26-27</t>
  </si>
  <si>
    <t>Bounce Charges-170</t>
  </si>
  <si>
    <t>Rajkamal Paper Product</t>
  </si>
  <si>
    <t>Bounce Charges-172</t>
  </si>
  <si>
    <t>C-SLG/0052/26-27</t>
  </si>
  <si>
    <t>Chq Bounce-2101</t>
  </si>
  <si>
    <t>RAJLAXMI STATIONERY</t>
  </si>
  <si>
    <t>Paid</t>
  </si>
  <si>
    <t>Bounce Charges-2290</t>
  </si>
  <si>
    <t>Bounce Charges</t>
  </si>
  <si>
    <t>C-SLG/2306/25-26</t>
  </si>
  <si>
    <t>RAJ MARKETING</t>
  </si>
  <si>
    <t>C-SLG/2468/25-26</t>
  </si>
  <si>
    <t>C-SLG/0044/26-27</t>
  </si>
  <si>
    <t>RAM BHAGWAN CORPORATION</t>
  </si>
  <si>
    <t>C-SLG/00130/25-26</t>
  </si>
  <si>
    <t>Ram Stationery Mart</t>
  </si>
  <si>
    <t>Supplier</t>
  </si>
  <si>
    <t>C-SLG/508/25-26</t>
  </si>
  <si>
    <t>C-SLG/515/25-26</t>
  </si>
  <si>
    <t>C-SLG/620/25-26</t>
  </si>
  <si>
    <t>C-SLG/943/25-26</t>
  </si>
  <si>
    <t>C-SLG/1078/25-26</t>
  </si>
  <si>
    <t>C-SLG/1244/25-26</t>
  </si>
  <si>
    <t>C-SLG/1326/25-26</t>
  </si>
  <si>
    <t>C-SLG/1540/25-26</t>
  </si>
  <si>
    <t>C-SLG/1673/25-26</t>
  </si>
  <si>
    <t>C-SLG/2018/25-26</t>
  </si>
  <si>
    <t>C-SLG/2030/25-26</t>
  </si>
  <si>
    <t>C-SLG/2156/25-26</t>
  </si>
  <si>
    <t>C-SLG/0025/26-27</t>
  </si>
  <si>
    <t>C-SLG/0128/26-27</t>
  </si>
  <si>
    <t>C-SLG/2061/25-26</t>
  </si>
  <si>
    <t>REMAX ENTERPRISES</t>
  </si>
  <si>
    <t>C-SLG/2456/25-26</t>
  </si>
  <si>
    <t>Renuka Enterprises</t>
  </si>
  <si>
    <t>C-SLG/0116/26-27</t>
  </si>
  <si>
    <t>C-SLG/2473/25-26</t>
  </si>
  <si>
    <t>RENUKA STATIONERS</t>
  </si>
  <si>
    <t>C-SLG/0084/26-27</t>
  </si>
  <si>
    <t>C-SLG/0115/26-27</t>
  </si>
  <si>
    <t>C-SLG/2326/25-26</t>
  </si>
  <si>
    <t>ROLEX Stationary</t>
  </si>
  <si>
    <t>Sample Piece</t>
  </si>
  <si>
    <t>C-SLG/2416/25-26</t>
  </si>
  <si>
    <t>Sha Ghewarchand &amp; Co</t>
  </si>
  <si>
    <t>C-SLG/0011/26-27</t>
  </si>
  <si>
    <t>Shanker Stationery Mart</t>
  </si>
  <si>
    <t>C-SLG/2195/25-26</t>
  </si>
  <si>
    <t>SRI RAMDEV ENTERPRISES</t>
  </si>
  <si>
    <t>Ringing Not Responding</t>
  </si>
  <si>
    <t>C-SLG/2336/25-26</t>
  </si>
  <si>
    <t>C-SLG/2467/25-26</t>
  </si>
  <si>
    <t>C-SLG/0010/26-27</t>
  </si>
  <si>
    <t>C-SLG/1650/23-24</t>
  </si>
  <si>
    <t>SRI RAM STATIONERY</t>
  </si>
  <si>
    <t>Will Pay on Monday</t>
  </si>
  <si>
    <t>C-SLG/2327/25-26</t>
  </si>
  <si>
    <t>C-SLG/2328/25-26</t>
  </si>
  <si>
    <t>TALAWAT STATIONARY</t>
  </si>
  <si>
    <t>C-SLG/2493/25-26</t>
  </si>
  <si>
    <t>Vardhman Computer &amp; Stationery</t>
  </si>
  <si>
    <t>C-SLG/0069/26-27</t>
  </si>
  <si>
    <t>C-SLG/2330/25-26</t>
  </si>
  <si>
    <t>V Raja Stationery</t>
  </si>
  <si>
    <t>Call Disconnected</t>
  </si>
  <si>
    <t>C-SLG/2466/25-26</t>
  </si>
  <si>
    <t>Chq Bounce-173</t>
  </si>
  <si>
    <t>Yash Marketing</t>
  </si>
  <si>
    <t>C-SLG/0136/26-27</t>
  </si>
  <si>
    <t>DURGA STATIONERY MART</t>
  </si>
  <si>
    <t>2026-06-09</t>
  </si>
  <si>
    <t>2026-03-06</t>
  </si>
  <si>
    <t>C-SLG/2323/25-26</t>
  </si>
  <si>
    <t>Ganesh Stationery</t>
  </si>
  <si>
    <t>2026-03-31</t>
  </si>
  <si>
    <t>C-SLG/0082/26-27</t>
  </si>
  <si>
    <t>MARUTHI MARKETING</t>
  </si>
  <si>
    <t>2026-05-25</t>
  </si>
  <si>
    <t>2026-05-14</t>
  </si>
  <si>
    <t>C-SLG/0129/26-27</t>
  </si>
  <si>
    <t>2026-06-08</t>
  </si>
  <si>
    <t>C-SLG/0131/26-27</t>
  </si>
  <si>
    <t>Murali Stationery Mart</t>
  </si>
  <si>
    <t>C-SLG/2324/25-26</t>
  </si>
  <si>
    <t>NARESH STATIONERY</t>
  </si>
  <si>
    <t>C-SLG/0120/26-27</t>
  </si>
  <si>
    <t>P.Manish Stationary</t>
  </si>
  <si>
    <t>C-SLG/0149/26-27</t>
  </si>
  <si>
    <t>Prajapathi Enterprises</t>
  </si>
  <si>
    <t>C-SLG/2329/25-26</t>
  </si>
  <si>
    <t>Rajan Stationers</t>
  </si>
  <si>
    <t>PAID BY CHEQUE</t>
  </si>
  <si>
    <t>C-SLG/0080/26-27</t>
  </si>
  <si>
    <t>RATAN STATIONARY MART</t>
  </si>
  <si>
    <t>2026-05-07</t>
  </si>
  <si>
    <t>C-SLG/0096/26-27</t>
  </si>
  <si>
    <t>2026-05-06</t>
  </si>
  <si>
    <t>C-SLG/0091/26-27</t>
  </si>
  <si>
    <t>SRI RAJKRUPA STATIONERS</t>
  </si>
  <si>
    <t>2026-05-31</t>
  </si>
  <si>
    <t>C-SLG/0159/26-27</t>
  </si>
  <si>
    <t>Chq Bounce-239</t>
  </si>
  <si>
    <t>Bounce Charges-2440</t>
  </si>
  <si>
    <t>C-SLG/0158/26-27</t>
  </si>
  <si>
    <t>C-SLG/0157/26-27</t>
  </si>
  <si>
    <t>C-SLG/0152/26-27</t>
  </si>
  <si>
    <t>Vinod</t>
  </si>
  <si>
    <t>C-SLG/0033/26-27</t>
  </si>
  <si>
    <t>Apple Gift Gallery</t>
  </si>
  <si>
    <t>C-SLG/0059/26-27</t>
  </si>
  <si>
    <t>Ashtar Enteprises</t>
  </si>
  <si>
    <t>C-SLG/2435/25-26</t>
  </si>
  <si>
    <t>BSR EXIM</t>
  </si>
  <si>
    <t>C-SLG/0064/26-27</t>
  </si>
  <si>
    <t>Gayathri Book Centre</t>
  </si>
  <si>
    <t>Paid Online - Full Amount</t>
  </si>
  <si>
    <t>C-SLG/0109/26-27</t>
  </si>
  <si>
    <t>C-SLG/2471/25-26</t>
  </si>
  <si>
    <t>Himalaya Book Binding Works &amp; Stationery</t>
  </si>
  <si>
    <t>C-SLG/2141/25-26</t>
  </si>
  <si>
    <t>ISLAMIA BOOK DEPOT</t>
  </si>
  <si>
    <t>Pay Late (Market Down)</t>
  </si>
  <si>
    <t>C-SLG/2123/25-26</t>
  </si>
  <si>
    <t>Jyothi Book Center</t>
  </si>
  <si>
    <t>Paid Online 2,600 - Paid Less</t>
  </si>
  <si>
    <t>C-SLG/2034/25-26</t>
  </si>
  <si>
    <t>KAMAL WATCH COMPANY PRIVATE LIMITED</t>
  </si>
  <si>
    <t>C-SLG/2035/25-26</t>
  </si>
  <si>
    <t>C-SLG/2454/25-26</t>
  </si>
  <si>
    <t>KIRAN ENTERPRISES</t>
  </si>
  <si>
    <t>C-SLG/0067/26-27</t>
  </si>
  <si>
    <t>Krishna Stationery ( LB Nagar)</t>
  </si>
  <si>
    <t>C-SLG/0043/26-27</t>
  </si>
  <si>
    <t>MEGHA S.V STATIONERY</t>
  </si>
  <si>
    <t>Bounce Charges-1749</t>
  </si>
  <si>
    <t>M.M AGENCIES</t>
  </si>
  <si>
    <t>C-SLG/2382/25-26</t>
  </si>
  <si>
    <t>C-SLG/0079/26-27</t>
  </si>
  <si>
    <t>C-SLG/0053/26-27</t>
  </si>
  <si>
    <t>MONI ENTERPRISES</t>
  </si>
  <si>
    <t>C-SLG/0093/26-27</t>
  </si>
  <si>
    <t>C-SLG/2410/25-26</t>
  </si>
  <si>
    <t>New Vidya Book Point (Saroor N)</t>
  </si>
  <si>
    <t>C-SLG/2433/25-26</t>
  </si>
  <si>
    <t>PADMAVATHI PEN STORES</t>
  </si>
  <si>
    <t>C-SLG/2492/25-26</t>
  </si>
  <si>
    <t>C-SLG/2486/25-26</t>
  </si>
  <si>
    <t>Raj Enterprises</t>
  </si>
  <si>
    <t>C-SLG/471/24-25</t>
  </si>
  <si>
    <t>Ramdev Stationery (K Puram)</t>
  </si>
  <si>
    <t>C-SLG/0037/26-27</t>
  </si>
  <si>
    <t>C-SLG/3153/23-24</t>
  </si>
  <si>
    <t>Sai Ram Book Center</t>
  </si>
  <si>
    <t>Customer Expired</t>
  </si>
  <si>
    <t>C-SLG/2449/25-26</t>
  </si>
  <si>
    <t>Sai Sujit Gifts &amp; Novelties</t>
  </si>
  <si>
    <t>C-SLG/2450/25-26</t>
  </si>
  <si>
    <t>Shiva Sai Stationery</t>
  </si>
  <si>
    <t>C-SLG/0024/26-27</t>
  </si>
  <si>
    <t>S MART STATIONERY MEGA STORE</t>
  </si>
  <si>
    <t>C-SLG/2488/25-26</t>
  </si>
  <si>
    <t>Soujanya Stationary Book Stall</t>
  </si>
  <si>
    <t>C-SLG/007/26-27</t>
  </si>
  <si>
    <t>C-SLG/0130/26-27</t>
  </si>
  <si>
    <t>C-SLG/2204/25-26</t>
  </si>
  <si>
    <t>Sri Chamunda Stationery</t>
  </si>
  <si>
    <t>C-SLG/2255/25-26</t>
  </si>
  <si>
    <t>SRI DHANALAKSHMI ENTERPRISES</t>
  </si>
  <si>
    <t>C-SLG/2479/25-26</t>
  </si>
  <si>
    <t>Sri Hanu Subramanyam Book Center</t>
  </si>
  <si>
    <t>Bounce Charges-155</t>
  </si>
  <si>
    <t>Sri Laxmi Book Centre ( DSNR)</t>
  </si>
  <si>
    <t>C-SLG/0012/26-27</t>
  </si>
  <si>
    <t>C-SLG/2431/25-26</t>
  </si>
  <si>
    <t>Sri Mahalaxmi Stationary and General</t>
  </si>
  <si>
    <t>C-SLG/0040/26-27</t>
  </si>
  <si>
    <t>Srinivasa Stationery &amp; Xerox</t>
  </si>
  <si>
    <t>C-SLG/2495/25-26</t>
  </si>
  <si>
    <t>Sri Ram Plastic</t>
  </si>
  <si>
    <t>C-SLG/2413/25-26</t>
  </si>
  <si>
    <t>Sri Sai Books &amp; Gifts (Chaithanyapuri)</t>
  </si>
  <si>
    <t>C-SLG/2452/25-26</t>
  </si>
  <si>
    <t>SRI SAI RAM STATIONERY(RK PURAM)</t>
  </si>
  <si>
    <t>C-SLG/2399/25-26</t>
  </si>
  <si>
    <t>SRI SAI SARASWATHI STATIONARY</t>
  </si>
  <si>
    <t>C-SLG/1957/25-26</t>
  </si>
  <si>
    <t>Sri Sai Tirumala Book &amp; Guides - Badangpet</t>
  </si>
  <si>
    <t>C-SLG/0047/26-27</t>
  </si>
  <si>
    <t>SRI SAI TIRUMALA BOOKS &amp; GUIDES (Santhosh Nagar)</t>
  </si>
  <si>
    <t>C-SLG/2124/25-26</t>
  </si>
  <si>
    <t>Sri Siddi Vinayaka Book Center</t>
  </si>
  <si>
    <t>C-SLG/0051/26-27</t>
  </si>
  <si>
    <t>Sri Venkateshwara Book Centre.I S</t>
  </si>
  <si>
    <t>C-SLG/2406/25-26</t>
  </si>
  <si>
    <t>Sri Venkatheswara Book World</t>
  </si>
  <si>
    <t>C-SLG/2372/25-26</t>
  </si>
  <si>
    <t>SR VENKATESHWARA BOOK WORLD</t>
  </si>
  <si>
    <t>C-SLG/0114/26-27</t>
  </si>
  <si>
    <t>C-SLG/1969/25-26</t>
  </si>
  <si>
    <t>Sun Electronics Times</t>
  </si>
  <si>
    <t>C-SLG/009/26-27</t>
  </si>
  <si>
    <t>S.V.TRADERS DSNR</t>
  </si>
  <si>
    <t>C-SLG/0026/26-27</t>
  </si>
  <si>
    <t>C-SLG/0054/26-27</t>
  </si>
  <si>
    <t>C-SLG/0083/26-27</t>
  </si>
  <si>
    <t>C-SLG/0094/26-27</t>
  </si>
  <si>
    <t>C-SLG/0101/26-27</t>
  </si>
  <si>
    <t>C-SLG/0132/26-27</t>
  </si>
  <si>
    <t>C-SLG/005/26-27</t>
  </si>
  <si>
    <t>VANI BOOKS &amp; STATIONERY</t>
  </si>
  <si>
    <t>C-SLG/0032/26-27</t>
  </si>
  <si>
    <t>C-SLG/0087/26-27</t>
  </si>
  <si>
    <t>C-SLG/2475/25-26</t>
  </si>
  <si>
    <t>Venkateswara Book Bank</t>
  </si>
  <si>
    <t>C-SLG/0019/26-27</t>
  </si>
  <si>
    <t>C-SLG/0123/26-27</t>
  </si>
  <si>
    <t>CENTRAL BOOKS AND STATIONERY</t>
  </si>
  <si>
    <t>C-SLG/0126/26-27</t>
  </si>
  <si>
    <t>Central Book Seller &amp; Stationery</t>
  </si>
  <si>
    <t>C-SLG/0118/26-27</t>
  </si>
  <si>
    <t>Jyothi Book Center (Himayathnagar)</t>
  </si>
  <si>
    <t>C-SLG/0124/26-27</t>
  </si>
  <si>
    <t>Kavitha Stationery &amp; Xerox</t>
  </si>
  <si>
    <t>C-SLG/0153/26-27</t>
  </si>
  <si>
    <t>Knowledge Park Book Bank</t>
  </si>
  <si>
    <t>C-SLG/0090/26-27</t>
  </si>
  <si>
    <t>Mv Rao Book Center</t>
  </si>
  <si>
    <t>C-SLG/0140/26-27</t>
  </si>
  <si>
    <t>Om Sri Sai Ram Book Point</t>
  </si>
  <si>
    <t>2026-06-10</t>
  </si>
  <si>
    <t>C-SLG/0163/26-27</t>
  </si>
  <si>
    <t>PRAKASH STATIONERS (HIMAYATH NAGAR)</t>
  </si>
  <si>
    <t>2026-06-17</t>
  </si>
  <si>
    <t>228</t>
  </si>
  <si>
    <t>PUSHPA BOOK CENTER</t>
  </si>
  <si>
    <t>C-SLG/0098/26-27</t>
  </si>
  <si>
    <t>R.B Stationery</t>
  </si>
  <si>
    <t>C-SLG/0148/26-27</t>
  </si>
  <si>
    <t>Renuka Book Depot and Stationery</t>
  </si>
  <si>
    <t>C-SLG/0092/26-27</t>
  </si>
  <si>
    <t>Sahitya Nilam Books Exibition</t>
  </si>
  <si>
    <t>C-SLG/0164/26-27</t>
  </si>
  <si>
    <t>2026-05-09</t>
  </si>
  <si>
    <t>C-SLG/0106/26-27</t>
  </si>
  <si>
    <t>SAI BALAJI BOOK CENTER</t>
  </si>
  <si>
    <t>2026-06-03</t>
  </si>
  <si>
    <t>C-SLG/0146/26-27</t>
  </si>
  <si>
    <t>Excess-166</t>
  </si>
  <si>
    <t>Sai Jyothi Stationery &amp; Xerox</t>
  </si>
  <si>
    <t>C-SLG/0122/26-27</t>
  </si>
  <si>
    <t>Sai Ram Stationery &amp; Xerox</t>
  </si>
  <si>
    <t>C-SLG/0162/26-27</t>
  </si>
  <si>
    <t>Shafi Book Depot</t>
  </si>
  <si>
    <t>C-SLG/0160/26-27</t>
  </si>
  <si>
    <t>Spice Internet Stationery</t>
  </si>
  <si>
    <t>C-SLG/0100/26-27</t>
  </si>
  <si>
    <t>SREE LAXMI ENTERPRISES</t>
  </si>
  <si>
    <t>2026-05-08</t>
  </si>
  <si>
    <t>C-SLG/0104/26-27</t>
  </si>
  <si>
    <t>Sri Balaji Stationary- L B Nagar</t>
  </si>
  <si>
    <t>2026-06-02</t>
  </si>
  <si>
    <t>2026-04-23</t>
  </si>
  <si>
    <t>C-SLG/0065/26-27</t>
  </si>
  <si>
    <t>SRI BALAJI STATIONERY</t>
  </si>
  <si>
    <t>2026-05-18</t>
  </si>
  <si>
    <t>C-SLG/0137/26-27</t>
  </si>
  <si>
    <t>Sri Balaji Stationery (Abdullamet)</t>
  </si>
  <si>
    <t>C-SLG/0097/26-27</t>
  </si>
  <si>
    <t>Sri Indu Stationeery</t>
  </si>
  <si>
    <t>C-SLG/0135/26-27</t>
  </si>
  <si>
    <t>Sri Sai Baba Book Center</t>
  </si>
  <si>
    <t>C-SLG/0138/26-27</t>
  </si>
  <si>
    <t>Sri Sai Santosh Stationery Xerox</t>
  </si>
  <si>
    <t>C-SLG/0102/26-27</t>
  </si>
  <si>
    <t>Sri Sai Stationary and Book Depot</t>
  </si>
  <si>
    <t>C-SLG/0095/26-27</t>
  </si>
  <si>
    <t>SRI SATYANARAYANA SWAMY STATIONERY&amp;XEROX</t>
  </si>
  <si>
    <t>C-SLG/0103/26-27</t>
  </si>
  <si>
    <t>SRI VAGDEVI- RK Puram</t>
  </si>
  <si>
    <t>C-SLG/0089/26-27</t>
  </si>
  <si>
    <t>Tirumala Book Depot</t>
  </si>
  <si>
    <t>C-SLG/0150/26-27</t>
  </si>
  <si>
    <t>C-SLG/0151/26-27</t>
  </si>
  <si>
    <t>C-SLG/0165/26-27</t>
  </si>
  <si>
    <t>C-SLG/0155/26-27</t>
  </si>
  <si>
    <t>C-SLG/0161/26-27</t>
  </si>
  <si>
    <t>SLGCW/98/26-27</t>
  </si>
  <si>
    <t>C-SLG/0170/26-27</t>
  </si>
  <si>
    <t>C-SLG/0171/26-27</t>
  </si>
  <si>
    <t>C-SLG/2068/25-26</t>
  </si>
  <si>
    <t>C-SLG/0169/26-27</t>
  </si>
  <si>
    <t>Bounce Charges-1552</t>
  </si>
  <si>
    <t>C-SLG/0167/26-27</t>
  </si>
  <si>
    <t>Srinivasa Book Depot</t>
  </si>
  <si>
    <t>C-SLG/0172/26-27</t>
  </si>
  <si>
    <t>SLGCW/91/26-27</t>
  </si>
  <si>
    <t>Counter Sale</t>
  </si>
  <si>
    <t>SLGCW/87/26-27</t>
  </si>
  <si>
    <t>SLGCW/90/26-27</t>
  </si>
  <si>
    <t>SLGCW/88/26-27</t>
  </si>
  <si>
    <t>SLGCW/89/26-27</t>
  </si>
  <si>
    <t>SLGCW/95/26-27</t>
  </si>
  <si>
    <t>SLGCW/94/26-27</t>
  </si>
  <si>
    <t>SLGCW/92/26-27</t>
  </si>
  <si>
    <t>SLGCW/93/26-27</t>
  </si>
  <si>
    <t>SLGCW/96/26-27</t>
  </si>
  <si>
    <t>SLGCW/97/26-27</t>
  </si>
  <si>
    <t>385</t>
  </si>
  <si>
    <t>SLGCW/100/26-27</t>
  </si>
  <si>
    <t>386</t>
  </si>
  <si>
    <t>SLGCW/99/26-27</t>
  </si>
  <si>
    <t>387</t>
  </si>
  <si>
    <t>C-SLG/0177/26-27</t>
  </si>
  <si>
    <t>396</t>
  </si>
  <si>
    <t>C-SLG/0184/26-27</t>
  </si>
  <si>
    <t>397</t>
  </si>
  <si>
    <t>C-SLG/0174/26-27</t>
  </si>
  <si>
    <t>398</t>
  </si>
  <si>
    <t>C-SLG/0175/26-27</t>
  </si>
  <si>
    <t>399</t>
  </si>
  <si>
    <t>C-SLG/0176/26-27</t>
  </si>
  <si>
    <t>400</t>
  </si>
  <si>
    <t>N/A</t>
  </si>
  <si>
    <t>C-SLG/3806/22-23</t>
  </si>
  <si>
    <t>LOTUS ENTERPRISES</t>
  </si>
  <si>
    <t>401</t>
  </si>
  <si>
    <t>C-SLG/0548/23-24</t>
  </si>
  <si>
    <t>402</t>
  </si>
  <si>
    <t>C-SLG/723/24-25</t>
  </si>
  <si>
    <t>403</t>
  </si>
  <si>
    <t>C-SLG/1471/24-25</t>
  </si>
  <si>
    <t>404</t>
  </si>
  <si>
    <t>C-SLG/1857/24-25</t>
  </si>
  <si>
    <t>405</t>
  </si>
  <si>
    <t>C-SLG/274/25-26</t>
  </si>
  <si>
    <t>406</t>
  </si>
  <si>
    <t>C-SLG/375/25-26</t>
  </si>
  <si>
    <t>407</t>
  </si>
  <si>
    <t>C-SLG/549/25-26</t>
  </si>
  <si>
    <t>408</t>
  </si>
  <si>
    <t>C-SLG/751/25-26</t>
  </si>
  <si>
    <t>409</t>
  </si>
  <si>
    <t>C-SLG/843/25-26</t>
  </si>
  <si>
    <t>410</t>
  </si>
  <si>
    <t>C-SLG/1261/25-26</t>
  </si>
  <si>
    <t>411</t>
  </si>
  <si>
    <t>C-SLG/1501/25-26</t>
  </si>
  <si>
    <t>412</t>
  </si>
  <si>
    <t>C-SLG/1549/25-26</t>
  </si>
  <si>
    <t>413</t>
  </si>
  <si>
    <t>C-SLG/2044/25-26</t>
  </si>
  <si>
    <t>414</t>
  </si>
  <si>
    <t>C-SLG/2134/25-26</t>
  </si>
  <si>
    <t>415</t>
  </si>
  <si>
    <t>C-SLG/2223/25-26</t>
  </si>
  <si>
    <t>416</t>
  </si>
  <si>
    <t>C-SLG/2230/25-26</t>
  </si>
  <si>
    <t>417</t>
  </si>
  <si>
    <t>C-SLG/2321/25-26</t>
  </si>
  <si>
    <t>418</t>
  </si>
  <si>
    <t>C-SLG/2359/25-26</t>
  </si>
  <si>
    <t>419</t>
  </si>
  <si>
    <t>C-SLG/2421/25-26</t>
  </si>
  <si>
    <t>420</t>
  </si>
  <si>
    <t>C-SLG/2447/25-26</t>
  </si>
  <si>
    <t>421</t>
  </si>
  <si>
    <t>C-SLG/2478/25-26</t>
  </si>
  <si>
    <t>422</t>
  </si>
  <si>
    <t>C-SLG/0028/26-27</t>
  </si>
  <si>
    <t>423</t>
  </si>
  <si>
    <t>C-SLG/0180/26-27</t>
  </si>
  <si>
    <t>425</t>
  </si>
  <si>
    <t>C-SLG/2741/23-24</t>
  </si>
  <si>
    <t>426</t>
  </si>
  <si>
    <t>C-SLG/2892/23-24</t>
  </si>
  <si>
    <t>427</t>
  </si>
  <si>
    <t>C-SLG/3079/23-24</t>
  </si>
  <si>
    <t>428</t>
  </si>
  <si>
    <t>C-SLG/3175/23-24</t>
  </si>
  <si>
    <t>429</t>
  </si>
  <si>
    <t>C-SLG/0076/24-25</t>
  </si>
  <si>
    <t>430</t>
  </si>
  <si>
    <t>C-SLG/932/25-26</t>
  </si>
  <si>
    <t>431</t>
  </si>
  <si>
    <t>C-SLG/0183/26-27</t>
  </si>
  <si>
    <t>433</t>
  </si>
  <si>
    <t>C-SLG/0179/26-27</t>
  </si>
  <si>
    <t>434</t>
  </si>
  <si>
    <t>C-SLG/1658/25-26</t>
  </si>
  <si>
    <t>SKYLIMIT ENTITY PRIVATE LIMITED</t>
  </si>
  <si>
    <t>435</t>
  </si>
  <si>
    <t>C-SLG/1759/25-26</t>
  </si>
  <si>
    <t>436</t>
  </si>
  <si>
    <t>C-SLG/1794/25-26</t>
  </si>
  <si>
    <t>437</t>
  </si>
  <si>
    <t>C-SLG/1803/25-26</t>
  </si>
  <si>
    <t>438</t>
  </si>
  <si>
    <t>C-SLG/1860/25-26</t>
  </si>
  <si>
    <t>439</t>
  </si>
  <si>
    <t>C-SLG/1874/25-26</t>
  </si>
  <si>
    <t>440</t>
  </si>
  <si>
    <t>C-SLG/1895/25-26</t>
  </si>
  <si>
    <t>441</t>
  </si>
  <si>
    <t>C-SLG/1960/25-26</t>
  </si>
  <si>
    <t>442</t>
  </si>
  <si>
    <t>C-SLG/1961/25-26</t>
  </si>
  <si>
    <t>443</t>
  </si>
  <si>
    <t>C-SLG/2023/25-26</t>
  </si>
  <si>
    <t>444</t>
  </si>
  <si>
    <t>C-SLG/2024/25-26</t>
  </si>
  <si>
    <t>445</t>
  </si>
  <si>
    <t>C-SLG/2045/25-26</t>
  </si>
  <si>
    <t>446</t>
  </si>
  <si>
    <t>C-SLG/2069/25-26</t>
  </si>
  <si>
    <t>447</t>
  </si>
  <si>
    <t>C-SLG/2071/25-26</t>
  </si>
  <si>
    <t>448</t>
  </si>
  <si>
    <t>C-SLG/2105/25-26</t>
  </si>
  <si>
    <t>449</t>
  </si>
  <si>
    <t>C-SLG/2168/25-26</t>
  </si>
  <si>
    <t>450</t>
  </si>
  <si>
    <t>C-SLG/2171/25-26</t>
  </si>
  <si>
    <t>451</t>
  </si>
  <si>
    <t>C-SLG/2220/25-26</t>
  </si>
  <si>
    <t>452</t>
  </si>
  <si>
    <t>C-SLG/2242/25-26</t>
  </si>
  <si>
    <t>453</t>
  </si>
  <si>
    <t>C-SLG/2261/25-26</t>
  </si>
  <si>
    <t>454</t>
  </si>
  <si>
    <t>C-SLG/2289/25-26</t>
  </si>
  <si>
    <t>455</t>
  </si>
  <si>
    <t>C-SLG/2437/25-26</t>
  </si>
  <si>
    <t>456</t>
  </si>
  <si>
    <t>C-SLG/2458/25-26</t>
  </si>
  <si>
    <t>457</t>
  </si>
  <si>
    <t>C-SLG/003/26-27</t>
  </si>
  <si>
    <t>458</t>
  </si>
  <si>
    <t>C-SLG/0013/26-27</t>
  </si>
  <si>
    <t>459</t>
  </si>
  <si>
    <t>C-SLG/0023/26-27</t>
  </si>
  <si>
    <t>460</t>
  </si>
  <si>
    <t>C-SLG/0035/26-27</t>
  </si>
  <si>
    <t>461</t>
  </si>
  <si>
    <t>C-SLG/0036/26-27</t>
  </si>
  <si>
    <t>462</t>
  </si>
  <si>
    <t>C-SLG/0038/26-27</t>
  </si>
  <si>
    <t>463</t>
  </si>
  <si>
    <t>C-SLG/0071/26-27</t>
  </si>
  <si>
    <t>464</t>
  </si>
  <si>
    <t>C-SLG/0105/26-27</t>
  </si>
  <si>
    <t>465</t>
  </si>
  <si>
    <t>C-SLG/0108/26-27</t>
  </si>
  <si>
    <t>466</t>
  </si>
  <si>
    <t>C-SLG/0166/26-27</t>
  </si>
  <si>
    <t>467</t>
  </si>
  <si>
    <t>C-SLG/0178/26-27</t>
  </si>
  <si>
    <t>468</t>
  </si>
  <si>
    <t>C-SLG/0182/26-27</t>
  </si>
  <si>
    <t>469</t>
  </si>
  <si>
    <t>C-SLG/0187/26-27</t>
  </si>
  <si>
    <t>470</t>
  </si>
  <si>
    <t>C-SLG/0186/26-27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</si>
</sst>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[$₹-439]\ ###,##0.00"/>
  </numFmts>
  <fonts count="3" x14ac:knownFonts="1">
    <font>
      <sz val="12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DE9D9"/>
        <bgColor rgb="FFFDE9D9"/>
      </patternFill>
    </fill>
    <fill>
      <patternFill patternType="solid">
        <fgColor rgb="FFE2EFDA"/>
        <bgColor rgb="FFE2EFDA"/>
      </patternFill>
    </fill>
    <fill>
      <patternFill patternType="solid">
        <fgColor rgb="FFFCE4EC"/>
        <bgColor rgb="FFFCE4EC"/>
      </patternFill>
    </fill>
    <fill>
      <patternFill patternType="solid">
        <fgColor rgb="FFF9D7C5"/>
        <bgColor rgb="FFF9D7C5"/>
      </patternFill>
    </fill>
    <fill>
      <patternFill patternType="solid">
        <fgColor rgb="FFFFF2CC"/>
        <bgColor rgb="FFFFF2CC"/>
      </patternFill>
    </fill>
    <fill>
      <patternFill patternType="solid">
        <fgColor rgb="FFF8CECC"/>
        <bgColor rgb="FFF8CECC"/>
      </patternFill>
    </fill>
    <fill>
      <patternFill patternType="solid">
        <fgColor rgb="FFD5E8D4"/>
        <bgColor rgb="FFD5E8D4"/>
      </patternFill>
    </fill>
    <fill>
      <patternFill patternType="solid">
        <fgColor rgb="FFFCE4D6"/>
        <bgColor rgb="FFFCE4D6"/>
      </patternFill>
    </fill>
    <fill>
      <patternFill patternType="solid">
        <fgColor theme="2" tint="-0.249977111117893"/>
        <bgColor rgb="FF1F38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8">
    <xf numFmtId="0" fontId="0" fillId="0" borderId="0" xfId="0"/>
    <xf numFmtId="0" fontId="0" fillId="3" borderId="1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left" vertical="center"/>
    </xf>
    <xf numFmtId="0" fontId="0" fillId="3" borderId="1" xfId="0" applyFill="1" applyBorder="1" applyAlignment="1">
      <alignment vertical="center"/>
    </xf>
    <xf numFmtId="165" fontId="0" fillId="3" borderId="1" xfId="0" applyNumberFormat="1" applyFill="1" applyBorder="1" applyAlignment="1">
      <alignment horizontal="right" vertical="center"/>
    </xf>
    <xf numFmtId="164" fontId="0" fillId="3" borderId="1" xfId="0" applyNumberFormat="1" applyFill="1" applyBorder="1" applyAlignment="1">
      <alignment horizontal="center" vertical="center"/>
    </xf>
    <xf numFmtId="165" fontId="0" fillId="3" borderId="1" xfId="0" applyNumberForma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left" vertical="center"/>
    </xf>
    <xf numFmtId="0" fontId="0" fillId="5" borderId="1" xfId="0" applyFill="1" applyBorder="1" applyAlignment="1">
      <alignment vertical="center"/>
    </xf>
    <xf numFmtId="165" fontId="0" fillId="5" borderId="1" xfId="0" applyNumberFormat="1" applyFill="1" applyBorder="1" applyAlignment="1">
      <alignment horizontal="right" vertical="center"/>
    </xf>
    <xf numFmtId="164" fontId="0" fillId="5" borderId="1" xfId="0" applyNumberFormat="1" applyFill="1" applyBorder="1" applyAlignment="1">
      <alignment horizontal="center" vertical="center"/>
    </xf>
    <xf numFmtId="165" fontId="0" fillId="5" borderId="1" xfId="0" applyNumberForma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left" vertical="center"/>
    </xf>
    <xf numFmtId="0" fontId="0" fillId="6" borderId="1" xfId="0" applyFill="1" applyBorder="1" applyAlignment="1">
      <alignment vertical="center"/>
    </xf>
    <xf numFmtId="165" fontId="0" fillId="6" borderId="1" xfId="0" applyNumberFormat="1" applyFill="1" applyBorder="1" applyAlignment="1">
      <alignment horizontal="right" vertical="center"/>
    </xf>
    <xf numFmtId="164" fontId="0" fillId="6" borderId="1" xfId="0" applyNumberFormat="1" applyFill="1" applyBorder="1" applyAlignment="1">
      <alignment horizontal="center" vertical="center"/>
    </xf>
    <xf numFmtId="165" fontId="0" fillId="6" borderId="1" xfId="0" applyNumberFormat="1" applyFill="1" applyBorder="1" applyAlignment="1">
      <alignment vertical="center"/>
    </xf>
    <xf numFmtId="0" fontId="0" fillId="7" borderId="1" xfId="0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left" vertical="center"/>
    </xf>
    <xf numFmtId="0" fontId="0" fillId="7" borderId="1" xfId="0" applyFill="1" applyBorder="1" applyAlignment="1">
      <alignment vertical="center"/>
    </xf>
    <xf numFmtId="165" fontId="0" fillId="7" borderId="1" xfId="0" applyNumberFormat="1" applyFill="1" applyBorder="1" applyAlignment="1">
      <alignment horizontal="right" vertical="center"/>
    </xf>
    <xf numFmtId="164" fontId="0" fillId="7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left" vertical="center"/>
    </xf>
    <xf numFmtId="165" fontId="0" fillId="4" borderId="1" xfId="0" applyNumberFormat="1" applyFill="1" applyBorder="1" applyAlignment="1">
      <alignment horizontal="right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vertical="center"/>
    </xf>
    <xf numFmtId="0" fontId="0" fillId="8" borderId="1" xfId="0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left" vertical="center"/>
    </xf>
    <xf numFmtId="0" fontId="0" fillId="8" borderId="1" xfId="0" applyFill="1" applyBorder="1" applyAlignment="1">
      <alignment vertical="center"/>
    </xf>
    <xf numFmtId="165" fontId="0" fillId="8" borderId="1" xfId="0" applyNumberFormat="1" applyFill="1" applyBorder="1" applyAlignment="1">
      <alignment horizontal="right" vertical="center"/>
    </xf>
    <xf numFmtId="164" fontId="0" fillId="8" borderId="1" xfId="0" applyNumberFormat="1" applyFill="1" applyBorder="1" applyAlignment="1">
      <alignment horizontal="center" vertical="center"/>
    </xf>
    <xf numFmtId="165" fontId="0" fillId="8" borderId="1" xfId="0" applyNumberFormat="1" applyFill="1" applyBorder="1" applyAlignment="1">
      <alignment vertical="center"/>
    </xf>
    <xf numFmtId="0" fontId="0" fillId="9" borderId="1" xfId="0" applyFill="1" applyBorder="1" applyAlignment="1">
      <alignment horizontal="center" vertical="center"/>
    </xf>
    <xf numFmtId="164" fontId="0" fillId="9" borderId="1" xfId="0" applyNumberFormat="1" applyFill="1" applyBorder="1" applyAlignment="1">
      <alignment horizontal="left" vertical="center"/>
    </xf>
    <xf numFmtId="0" fontId="0" fillId="9" borderId="1" xfId="0" applyFill="1" applyBorder="1" applyAlignment="1">
      <alignment vertical="center"/>
    </xf>
    <xf numFmtId="165" fontId="0" fillId="9" borderId="1" xfId="0" applyNumberFormat="1" applyFill="1" applyBorder="1" applyAlignment="1">
      <alignment horizontal="right" vertical="center"/>
    </xf>
    <xf numFmtId="164" fontId="0" fillId="9" borderId="1" xfId="0" applyNumberFormat="1" applyFill="1" applyBorder="1" applyAlignment="1">
      <alignment horizontal="center" vertical="center"/>
    </xf>
    <xf numFmtId="165" fontId="0" fillId="9" borderId="1" xfId="0" applyNumberFormat="1" applyFill="1" applyBorder="1" applyAlignment="1">
      <alignment vertical="center"/>
    </xf>
    <xf numFmtId="0" fontId="0" fillId="10" borderId="1" xfId="0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left" vertical="center"/>
    </xf>
    <xf numFmtId="0" fontId="0" fillId="10" borderId="1" xfId="0" applyFill="1" applyBorder="1" applyAlignment="1">
      <alignment vertical="center"/>
    </xf>
    <xf numFmtId="165" fontId="0" fillId="10" borderId="1" xfId="0" applyNumberFormat="1" applyFill="1" applyBorder="1" applyAlignment="1">
      <alignment horizontal="right" vertical="center"/>
    </xf>
    <xf numFmtId="164" fontId="0" fillId="10" borderId="1" xfId="0" applyNumberFormat="1" applyFill="1" applyBorder="1" applyAlignment="1">
      <alignment horizontal="center" vertical="center"/>
    </xf>
    <xf numFmtId="165" fontId="0" fillId="10" borderId="1" xfId="0" applyNumberFormat="1" applyFill="1" applyBorder="1" applyAlignment="1">
      <alignment vertical="center"/>
    </xf>
    <xf numFmtId="165" fontId="0" fillId="9" borderId="2" xfId="0" applyNumberFormat="1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" fillId="11" borderId="1" xfId="0" applyFont="1" applyFill="1" applyBorder="1" applyAlignment="1">
      <alignment horizontal="center" vertical="center" wrapText="1"/>
    </xf>
    <xf numFmtId="164" fontId="2" fillId="11" borderId="1" xfId="0" applyNumberFormat="1" applyFont="1" applyFill="1" applyBorder="1" applyAlignment="1">
      <alignment horizontal="left" vertical="center" wrapText="1"/>
    </xf>
    <xf numFmtId="165" fontId="2" fillId="11" borderId="1" xfId="0" applyNumberFormat="1" applyFont="1" applyFill="1" applyBorder="1" applyAlignment="1">
      <alignment horizontal="center" vertical="center" wrapText="1"/>
    </xf>
    <xf numFmtId="164" fontId="2" fillId="11" borderId="1" xfId="0" applyNumberFormat="1" applyFont="1" applyFill="1" applyBorder="1" applyAlignment="1">
      <alignment horizontal="center" vertical="center" wrapText="1"/>
    </xf>
    <xf numFmtId="2" fontId="0" fillId="7" borderId="1" xfId="0" applyNumberForma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horizontal="right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vertical="center"/>
    </xf>
    <xf numFmtId="0" fontId="1" fillId="2" borderId="1" xfId="1" applyBorder="1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horizontal="center" vertical="center"/>
    </xf>
  </cellXfs>
  <cellStyles count="2">
    <cellStyle name="Neutral" xfId="1" builtinId="28"/>
    <cellStyle name="Normal" xfId="0" builtinId="0"/>
  </cellStyles>
  <dxfs count="24"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65" formatCode="[$₹-439]\ ###,##0.00"/>
      <alignment vertical="center" textRotation="0" wrapText="0" indent="0" justifyLastLine="0" shrinkToFit="0" readingOrder="0"/>
    </dxf>
    <dxf>
      <numFmt numFmtId="165" formatCode="[$₹-439]\ ###,##0.00"/>
      <alignment vertical="center" textRotation="0" wrapText="0" indent="0" justifyLastLine="0" shrinkToFit="0" readingOrder="0"/>
    </dxf>
    <dxf>
      <numFmt numFmtId="164" formatCode="dd\-mmm\-yyyy"/>
      <alignment horizontal="center" vertical="center" textRotation="0" wrapText="0" indent="0" justifyLastLine="0" shrinkToFit="0" readingOrder="0"/>
    </dxf>
    <dxf>
      <numFmt numFmtId="165" formatCode="[$₹-439]\ ###,##0.0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64" formatCode="dd\-mmm\-yyyy"/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alibri"/>
        <scheme val="none"/>
      </font>
      <fill>
        <patternFill patternType="solid">
          <fgColor rgb="FF1F3864"/>
          <bgColor theme="2" tint="-0.24997711111789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50D092"/>
        </patternFill>
      </fill>
    </dxf>
    <dxf>
      <font>
        <color rgb="FF006100"/>
      </font>
      <fill>
        <patternFill>
          <bgColor rgb="FF50D09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50D092"/>
        </patternFill>
      </fill>
    </dxf>
    <dxf>
      <font>
        <color rgb="FF006100"/>
      </font>
      <fill>
        <patternFill>
          <bgColor rgb="FF50D09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50D092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shiny-waddle/shiny/May_ARAgingReport_AKM.xlsx" TargetMode="External"/><Relationship Id="rId2" Type="http://schemas.openxmlformats.org/officeDocument/2006/relationships/externalLinkPath" Target="https://d.docs.live.net/3a1dd18322395ba2/Documents/GitHub/shiny-waddle/shiny/May_ARAgingReport_AKM.xlsx" TargetMode="External"/><Relationship Id="rId1" Type="http://schemas.openxmlformats.org/officeDocument/2006/relationships/externalLinkPath" Target="/3a1dd18322395ba2/Documents/GitHub/shiny-waddle/shiny/May_ARAgingReport_AK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ME"/>
      <sheetName val="D"/>
      <sheetName val="MASTER_REPORT"/>
      <sheetName val="CALLING_LIST"/>
      <sheetName val="DSO_Actions"/>
      <sheetName val="PAYMENTS"/>
      <sheetName val="Watches_Report"/>
      <sheetName val="Praveen_Report"/>
      <sheetName val="Mujahid_Report"/>
      <sheetName val="Vinod_Report"/>
    </sheetNames>
    <sheetDataSet>
      <sheetData sheetId="0"/>
      <sheetData sheetId="1"/>
      <sheetData sheetId="2"/>
      <sheetData sheetId="3"/>
      <sheetData sheetId="4"/>
      <sheetData sheetId="5">
        <row r="2">
          <cell r="C2">
            <v>13436</v>
          </cell>
          <cell r="D2" t="str">
            <v>Paid by Cheque</v>
          </cell>
        </row>
        <row r="3">
          <cell r="C3">
            <v>45625</v>
          </cell>
          <cell r="D3" t="str">
            <v>Paid by Cheque</v>
          </cell>
        </row>
        <row r="4">
          <cell r="C4">
            <v>22969</v>
          </cell>
          <cell r="D4" t="str">
            <v>Paid by Bank Transfer</v>
          </cell>
        </row>
        <row r="5">
          <cell r="C5">
            <v>14355</v>
          </cell>
          <cell r="D5" t="str">
            <v>Paid by Bank Transfer</v>
          </cell>
        </row>
        <row r="6">
          <cell r="C6">
            <v>3281</v>
          </cell>
          <cell r="D6" t="str">
            <v>Paid by Bank Transfer</v>
          </cell>
        </row>
        <row r="7">
          <cell r="C7">
            <v>8756</v>
          </cell>
          <cell r="D7" t="str">
            <v>Paid by Bank Transfer</v>
          </cell>
        </row>
        <row r="8">
          <cell r="C8">
            <v>380</v>
          </cell>
          <cell r="D8" t="str">
            <v>Paid by Bank Transfer</v>
          </cell>
        </row>
        <row r="9">
          <cell r="C9">
            <v>17710</v>
          </cell>
          <cell r="D9" t="str">
            <v>Paid by Cheque</v>
          </cell>
        </row>
        <row r="10">
          <cell r="C10">
            <v>8855</v>
          </cell>
          <cell r="D10" t="str">
            <v>Paid by Cheque</v>
          </cell>
        </row>
        <row r="11">
          <cell r="C11">
            <v>5572</v>
          </cell>
          <cell r="D11" t="str">
            <v>Paid by Cheque</v>
          </cell>
        </row>
        <row r="12">
          <cell r="C12">
            <v>5144</v>
          </cell>
          <cell r="D12" t="str">
            <v>Paid by Cheque</v>
          </cell>
        </row>
        <row r="13">
          <cell r="C13">
            <v>70357</v>
          </cell>
          <cell r="D13" t="str">
            <v>Paid by Cheque</v>
          </cell>
        </row>
        <row r="14">
          <cell r="C14">
            <v>30441</v>
          </cell>
          <cell r="D14" t="str">
            <v>Paid by Cheque - Paid Less</v>
          </cell>
        </row>
        <row r="15">
          <cell r="C15">
            <v>15873</v>
          </cell>
          <cell r="D15" t="str">
            <v>Paid by Cheque</v>
          </cell>
        </row>
        <row r="16">
          <cell r="C16">
            <v>7623</v>
          </cell>
          <cell r="D16" t="str">
            <v>Paid by Cheque</v>
          </cell>
        </row>
        <row r="17">
          <cell r="C17">
            <v>8720</v>
          </cell>
          <cell r="D17" t="str">
            <v xml:space="preserve">Paid Online </v>
          </cell>
        </row>
        <row r="18">
          <cell r="C18">
            <v>11511</v>
          </cell>
          <cell r="D18" t="str">
            <v xml:space="preserve">Paid Online </v>
          </cell>
        </row>
        <row r="19">
          <cell r="C19">
            <v>2287</v>
          </cell>
          <cell r="D19" t="str">
            <v xml:space="preserve">Paid Online </v>
          </cell>
        </row>
        <row r="20">
          <cell r="C20">
            <v>2476</v>
          </cell>
          <cell r="D20" t="str">
            <v xml:space="preserve">Paid Online </v>
          </cell>
        </row>
        <row r="21">
          <cell r="C21">
            <v>20000</v>
          </cell>
        </row>
        <row r="23">
          <cell r="C23">
            <v>5452</v>
          </cell>
          <cell r="D23" t="str">
            <v xml:space="preserve">Paid Online </v>
          </cell>
        </row>
        <row r="24">
          <cell r="C24">
            <v>25000</v>
          </cell>
        </row>
        <row r="25">
          <cell r="C25">
            <v>8190</v>
          </cell>
          <cell r="D25" t="str">
            <v xml:space="preserve">Paid Online </v>
          </cell>
        </row>
        <row r="26">
          <cell r="C26">
            <v>59388</v>
          </cell>
          <cell r="D26" t="str">
            <v>Paid by Cheque</v>
          </cell>
        </row>
        <row r="27">
          <cell r="C27">
            <v>5960</v>
          </cell>
          <cell r="D27" t="str">
            <v>Paid by Cheque</v>
          </cell>
        </row>
        <row r="28">
          <cell r="C28">
            <v>916</v>
          </cell>
          <cell r="D28" t="str">
            <v>Paid by Cheque</v>
          </cell>
        </row>
        <row r="29">
          <cell r="C29">
            <v>2414</v>
          </cell>
          <cell r="D29" t="str">
            <v xml:space="preserve">Paid Online </v>
          </cell>
        </row>
        <row r="30">
          <cell r="D30" t="str">
            <v>Paid Online - Rest stock returned</v>
          </cell>
        </row>
        <row r="31">
          <cell r="C31">
            <v>82798</v>
          </cell>
          <cell r="D31" t="str">
            <v>Bank Transfer</v>
          </cell>
        </row>
        <row r="32">
          <cell r="C32">
            <v>22195</v>
          </cell>
          <cell r="D32" t="str">
            <v>Paid by Cheque</v>
          </cell>
        </row>
        <row r="33">
          <cell r="C33">
            <v>15116</v>
          </cell>
          <cell r="D33" t="str">
            <v>Paid by Cheque</v>
          </cell>
        </row>
        <row r="34">
          <cell r="C34">
            <v>4181</v>
          </cell>
          <cell r="D34" t="str">
            <v>Paid by Cheque</v>
          </cell>
        </row>
        <row r="35">
          <cell r="C35">
            <v>947</v>
          </cell>
          <cell r="D35" t="str">
            <v>Paid by Cheque</v>
          </cell>
        </row>
        <row r="36">
          <cell r="C36">
            <v>3371</v>
          </cell>
          <cell r="D36" t="str">
            <v xml:space="preserve">Paid Online </v>
          </cell>
        </row>
        <row r="37">
          <cell r="C37">
            <v>28248</v>
          </cell>
          <cell r="D37" t="str">
            <v>Paid by Cheque</v>
          </cell>
        </row>
        <row r="38">
          <cell r="C38">
            <v>17130</v>
          </cell>
          <cell r="D38" t="str">
            <v xml:space="preserve">Paid Online </v>
          </cell>
        </row>
        <row r="39">
          <cell r="C39">
            <v>3580</v>
          </cell>
          <cell r="D39" t="str">
            <v xml:space="preserve">Paid Online </v>
          </cell>
        </row>
        <row r="40">
          <cell r="C40">
            <v>4427</v>
          </cell>
          <cell r="D40" t="str">
            <v>Paid by Cheque</v>
          </cell>
        </row>
        <row r="41">
          <cell r="C41">
            <v>2945</v>
          </cell>
          <cell r="D41" t="str">
            <v>Paid by Cheque</v>
          </cell>
        </row>
        <row r="42">
          <cell r="C42">
            <v>2852</v>
          </cell>
          <cell r="D42" t="str">
            <v xml:space="preserve">Paid Online </v>
          </cell>
        </row>
        <row r="43">
          <cell r="C43">
            <v>2544</v>
          </cell>
          <cell r="D43" t="str">
            <v xml:space="preserve">Paid Online </v>
          </cell>
        </row>
        <row r="44">
          <cell r="C44">
            <v>7356</v>
          </cell>
          <cell r="D44" t="str">
            <v xml:space="preserve">Paid Online </v>
          </cell>
        </row>
        <row r="45">
          <cell r="C45">
            <v>8075</v>
          </cell>
          <cell r="D45" t="str">
            <v xml:space="preserve">Paid Online </v>
          </cell>
        </row>
        <row r="46">
          <cell r="C46">
            <v>1459</v>
          </cell>
          <cell r="D46" t="str">
            <v xml:space="preserve">Paid Online </v>
          </cell>
        </row>
        <row r="47">
          <cell r="C47">
            <v>1328</v>
          </cell>
          <cell r="D47" t="str">
            <v xml:space="preserve">Paid Online </v>
          </cell>
        </row>
        <row r="48">
          <cell r="C48">
            <v>9268</v>
          </cell>
          <cell r="D48" t="str">
            <v>Paid by Cheque</v>
          </cell>
        </row>
        <row r="49">
          <cell r="C49">
            <v>7960</v>
          </cell>
          <cell r="D49" t="str">
            <v>Paid by Cheque</v>
          </cell>
        </row>
        <row r="50">
          <cell r="C50">
            <v>104942</v>
          </cell>
          <cell r="D50" t="str">
            <v>Paid by Cheque</v>
          </cell>
        </row>
        <row r="51">
          <cell r="C51">
            <v>643</v>
          </cell>
          <cell r="D51" t="str">
            <v xml:space="preserve">Paid Online </v>
          </cell>
        </row>
        <row r="53">
          <cell r="C53">
            <v>13321</v>
          </cell>
          <cell r="D53" t="str">
            <v xml:space="preserve">Paid Online </v>
          </cell>
        </row>
        <row r="54">
          <cell r="C54">
            <v>9634</v>
          </cell>
          <cell r="D54" t="str">
            <v>Paid by Cheque</v>
          </cell>
        </row>
        <row r="55">
          <cell r="C55">
            <v>4466</v>
          </cell>
          <cell r="D55" t="str">
            <v>Paid by Cheque</v>
          </cell>
        </row>
        <row r="56">
          <cell r="C56">
            <v>22849</v>
          </cell>
          <cell r="D56" t="str">
            <v>Paid by Cheque</v>
          </cell>
        </row>
        <row r="57">
          <cell r="C57">
            <v>3988</v>
          </cell>
          <cell r="D57" t="str">
            <v>Paid by Cheque</v>
          </cell>
        </row>
        <row r="58">
          <cell r="C58">
            <v>2021</v>
          </cell>
          <cell r="D58" t="str">
            <v>Paid by Cheque</v>
          </cell>
        </row>
        <row r="59">
          <cell r="C59">
            <v>20000</v>
          </cell>
        </row>
        <row r="60">
          <cell r="C60">
            <v>29883</v>
          </cell>
          <cell r="D60" t="str">
            <v>Paid by Cheque</v>
          </cell>
        </row>
        <row r="61">
          <cell r="C61">
            <v>317502</v>
          </cell>
          <cell r="D61" t="str">
            <v xml:space="preserve">Paid Online </v>
          </cell>
        </row>
      </sheetData>
      <sheetData sheetId="6"/>
      <sheetData sheetId="7"/>
      <sheetData sheetId="8"/>
      <sheetData sheetId="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A96B47-1CE5-4FCA-9A7B-9862F5AD1787}" name="MasterARReport" displayName="MasterARReport" ref="A1:N472" headerRowDxfId="15" dataDxfId="14">
  <autoFilter ref="A1:N472" xr:uid="{27A96B47-1CE5-4FCA-9A7B-9862F5AD1787}"/>
  <sortState xmlns:xlrd2="http://schemas.microsoft.com/office/spreadsheetml/2017/richdata2" ref="A2:N362">
    <sortCondition ref="A1:A362"/>
  </sortState>
  <tableColumns count="14">
    <tableColumn id="1" xr3:uid="{8B6D90A0-C584-4D29-9CAF-BBF548EDFB08}" name="S.No" dataDxfId="13"/>
    <tableColumn id="2" xr3:uid="{5B8D089F-17B6-4745-A80B-3EC19B913C58}" name="Source Sheet" dataDxfId="12"/>
    <tableColumn id="3" xr3:uid="{1071EB85-56AF-4899-8958-409810B56709}" name="Date" dataDxfId="11"/>
    <tableColumn id="4" xr3:uid="{90BDA873-1CA2-42DB-90F7-94B6DB4CDBCF}" name="Invoice No" dataDxfId="10"/>
    <tableColumn id="5" xr3:uid="{10C0C3BF-BA40-4DC8-B707-29480E71E8E7}" name="CUSTOMER NAME" dataDxfId="9"/>
    <tableColumn id="6" xr3:uid="{08DDD9FA-C828-4AF3-A546-E991D3CF0F06}" name="Invoice Amount" dataDxfId="8"/>
    <tableColumn id="7" xr3:uid="{B3D41B7A-F960-4371-86E3-43CA4B56758C}" name="Due Date" dataDxfId="7"/>
    <tableColumn id="8" xr3:uid="{9480B753-22EB-40A7-B484-364D1BA46842}" name="Paid Amount" dataDxfId="6"/>
    <tableColumn id="9" xr3:uid="{5F9F9835-EA69-4408-94B6-59D31766E230}" name="Outstanding Amount" dataDxfId="5">
      <calculatedColumnFormula>MAX(0,F2-H2)</calculatedColumnFormula>
    </tableColumn>
    <tableColumn id="10" xr3:uid="{EF952694-5781-4207-A1D0-B0A4B9E32984}" name="Days Overdue" dataDxfId="4">
      <calculatedColumnFormula>IF(G2="",0,MAX(0,TODAY()-G2))</calculatedColumnFormula>
    </tableColumn>
    <tableColumn id="11" xr3:uid="{96C92BE4-84D5-45DE-B5C3-CE26F37252E6}" name="Aging Bucket" dataDxfId="3">
      <calculatedColumnFormula>IF(I2&lt;=0,"Current",IF(J2&lt;=30,"0-30 Days",IF(J2&lt;=60,"31-60 Days",IF(J2&lt;=90,"61-90 Days","90+ Days"))))</calculatedColumnFormula>
    </tableColumn>
    <tableColumn id="12" xr3:uid="{0B8FFA21-B2A1-41E7-AC5A-6C53BE8984EF}" name="Risk Level" dataDxfId="2"/>
    <tableColumn id="13" xr3:uid="{739F6EB8-B680-4EE8-9789-8D1345DA377C}" name="Remarks" dataDxfId="1"/>
    <tableColumn id="14" xr3:uid="{BB01A70B-89E9-41F6-8EAC-53FC173DD804}" name=" Status" dataDxfId="0">
      <calculatedColumnFormula>IF(MasterARReport[[#This Row],[Outstanding Amount]]=0, "PAID", "PENDING")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2"/>
  <sheetViews>
    <sheetView tabSelected="1" workbookViewId="0">
      <selection activeCell="J27" sqref="J27"/>
    </sheetView>
  </sheetViews>
  <sheetFormatPr defaultRowHeight="15.6" x14ac:dyDescent="0.3"/>
  <cols>
    <col min="1" max="1" width="10.796875" customWidth="1"/>
    <col min="2" max="2" width="12.796875" customWidth="1"/>
    <col min="3" max="3" width="11.796875" customWidth="1"/>
    <col min="4" max="4" width="16.796875" customWidth="1"/>
    <col min="5" max="5" width="32.796875" customWidth="1"/>
    <col min="6" max="6" width="14.796875" customWidth="1"/>
    <col min="7" max="8" width="11.796875" customWidth="1"/>
    <col min="9" max="9" width="18.796875" customWidth="1"/>
    <col min="10" max="11" width="12.796875" customWidth="1"/>
    <col min="12" max="12" width="10.796875" customWidth="1"/>
    <col min="13" max="13" width="47.796875" customWidth="1"/>
    <col min="14" max="14" width="10.796875" customWidth="1"/>
  </cols>
  <sheetData>
    <row r="1" spans="1:14" x14ac:dyDescent="0.3">
      <c r="A1" s="51" t="s">
        <v>0</v>
      </c>
      <c r="B1" s="51" t="s">
        <v>1</v>
      </c>
      <c r="C1" s="52" t="s">
        <v>2</v>
      </c>
      <c r="D1" s="51" t="s">
        <v>3</v>
      </c>
      <c r="E1" s="51" t="s">
        <v>4</v>
      </c>
      <c r="F1" s="53" t="s">
        <v>5</v>
      </c>
      <c r="G1" s="54" t="s">
        <v>6</v>
      </c>
      <c r="H1" s="53" t="s">
        <v>7</v>
      </c>
      <c r="I1" s="53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</row>
    <row r="2" spans="1:14" x14ac:dyDescent="0.3">
      <c r="A2" s="26">
        <v>1</v>
      </c>
      <c r="B2" s="26" t="s">
        <v>224</v>
      </c>
      <c r="C2" s="27">
        <v>46144</v>
      </c>
      <c r="D2" s="7" t="s">
        <v>225</v>
      </c>
      <c r="E2" s="7" t="s">
        <v>226</v>
      </c>
      <c r="F2" s="28">
        <v>1400</v>
      </c>
      <c r="G2" s="29">
        <v>46144</v>
      </c>
      <c r="H2" s="30">
        <v>0</v>
      </c>
      <c r="I2" s="30">
        <f t="shared" ref="I2:I65" si="0">MAX(0,F2-H2)</f>
        <v>1400</v>
      </c>
      <c r="J2" s="7">
        <f t="shared" ref="J2:J65" ca="1" si="1">IF(G2="",0,MAX(0,TODAY()-G2))</f>
        <v>29</v>
      </c>
      <c r="K2" s="7" t="str">
        <f t="shared" ref="K2:K65" ca="1" si="2">IF(I2&lt;=0,"Current",IF(J2&lt;=30,"0-30 Days",IF(J2&lt;=60,"31-60 Days",IF(J2&lt;=90,"61-90 Days","90+ Days"))))</f>
        <v>0-30 Days</v>
      </c>
      <c r="L2" s="7" t="str">
        <f t="shared" ref="L2:L65" ca="1" si="3">IF(I2&lt;=0,"-",IF(J2&lt;=30,"Low",IF(J2&lt;=60,"Low-Medium",IF(J2&lt;=90,"Medium","HIGH RISK"))))</f>
        <v>Low</v>
      </c>
      <c r="M2" s="7" t="s">
        <v>227</v>
      </c>
      <c r="N2" s="7" t="str">
        <f>IF(MasterARReport[[#This Row],[Outstanding Amount]]=0, "PAID", "PENDING")</f>
        <v>PENDING</v>
      </c>
    </row>
    <row r="3" spans="1:14" x14ac:dyDescent="0.3">
      <c r="A3" s="31">
        <v>2</v>
      </c>
      <c r="B3" s="31" t="s">
        <v>224</v>
      </c>
      <c r="C3" s="32">
        <v>45716</v>
      </c>
      <c r="D3" s="33" t="s">
        <v>228</v>
      </c>
      <c r="E3" s="33" t="s">
        <v>229</v>
      </c>
      <c r="F3" s="34">
        <v>159.66999999999999</v>
      </c>
      <c r="G3" s="35">
        <v>45716</v>
      </c>
      <c r="H3" s="36">
        <v>0</v>
      </c>
      <c r="I3" s="36">
        <f t="shared" si="0"/>
        <v>159.66999999999999</v>
      </c>
      <c r="J3" s="33">
        <f t="shared" ca="1" si="1"/>
        <v>457</v>
      </c>
      <c r="K3" s="33" t="str">
        <f t="shared" ca="1" si="2"/>
        <v>90+ Days</v>
      </c>
      <c r="L3" s="33" t="str">
        <f t="shared" ca="1" si="3"/>
        <v>HIGH RISK</v>
      </c>
      <c r="M3" s="33" t="s">
        <v>230</v>
      </c>
      <c r="N3" s="7" t="str">
        <f>IF(MasterARReport[[#This Row],[Outstanding Amount]]=0, "PAID", "PENDING")</f>
        <v>PENDING</v>
      </c>
    </row>
    <row r="4" spans="1:14" x14ac:dyDescent="0.3">
      <c r="A4" s="8">
        <v>3</v>
      </c>
      <c r="B4" s="8" t="s">
        <v>224</v>
      </c>
      <c r="C4" s="9">
        <v>46013</v>
      </c>
      <c r="D4" s="10" t="s">
        <v>231</v>
      </c>
      <c r="E4" s="10" t="s">
        <v>229</v>
      </c>
      <c r="F4" s="11">
        <v>383</v>
      </c>
      <c r="G4" s="12">
        <v>46043</v>
      </c>
      <c r="H4" s="13">
        <f>[1]PAYMENTS!C8</f>
        <v>380</v>
      </c>
      <c r="I4" s="13">
        <f t="shared" si="0"/>
        <v>3</v>
      </c>
      <c r="J4" s="10">
        <f t="shared" ca="1" si="1"/>
        <v>130</v>
      </c>
      <c r="K4" s="10" t="str">
        <f t="shared" ca="1" si="2"/>
        <v>90+ Days</v>
      </c>
      <c r="L4" s="10" t="str">
        <f t="shared" ca="1" si="3"/>
        <v>HIGH RISK</v>
      </c>
      <c r="M4" s="10" t="str">
        <f>[1]PAYMENTS!D8</f>
        <v>Paid by Bank Transfer</v>
      </c>
      <c r="N4" s="7" t="str">
        <f>IF(MasterARReport[[#This Row],[Outstanding Amount]]=0, "PAID", "PENDING")</f>
        <v>PENDING</v>
      </c>
    </row>
    <row r="5" spans="1:14" x14ac:dyDescent="0.3">
      <c r="A5" s="31">
        <v>4</v>
      </c>
      <c r="B5" s="31" t="s">
        <v>224</v>
      </c>
      <c r="C5" s="32">
        <v>45996</v>
      </c>
      <c r="D5" s="33" t="s">
        <v>232</v>
      </c>
      <c r="E5" s="33" t="s">
        <v>233</v>
      </c>
      <c r="F5" s="34">
        <v>2852</v>
      </c>
      <c r="G5" s="35">
        <v>46041</v>
      </c>
      <c r="H5" s="36">
        <v>0</v>
      </c>
      <c r="I5" s="36">
        <f t="shared" si="0"/>
        <v>2852</v>
      </c>
      <c r="J5" s="33">
        <f t="shared" ca="1" si="1"/>
        <v>132</v>
      </c>
      <c r="K5" s="33" t="str">
        <f t="shared" ca="1" si="2"/>
        <v>90+ Days</v>
      </c>
      <c r="L5" s="33" t="str">
        <f t="shared" ca="1" si="3"/>
        <v>HIGH RISK</v>
      </c>
      <c r="M5" s="33" t="s">
        <v>234</v>
      </c>
      <c r="N5" s="7" t="str">
        <f>IF(MasterARReport[[#This Row],[Outstanding Amount]]=0, "PAID", "PENDING")</f>
        <v>PENDING</v>
      </c>
    </row>
    <row r="6" spans="1:14" x14ac:dyDescent="0.3">
      <c r="A6" s="56">
        <v>5</v>
      </c>
      <c r="B6" s="56" t="s">
        <v>224</v>
      </c>
      <c r="C6" s="57">
        <v>46139</v>
      </c>
      <c r="D6" s="58" t="s">
        <v>235</v>
      </c>
      <c r="E6" s="58" t="s">
        <v>233</v>
      </c>
      <c r="F6" s="59">
        <v>196667</v>
      </c>
      <c r="G6" s="60">
        <v>46184</v>
      </c>
      <c r="H6" s="61">
        <v>0</v>
      </c>
      <c r="I6" s="61">
        <f t="shared" si="0"/>
        <v>196667</v>
      </c>
      <c r="J6" s="58">
        <f t="shared" ca="1" si="1"/>
        <v>0</v>
      </c>
      <c r="K6" s="58" t="str">
        <f t="shared" ca="1" si="2"/>
        <v>0-30 Days</v>
      </c>
      <c r="L6" s="58" t="str">
        <f t="shared" ca="1" si="3"/>
        <v>Low</v>
      </c>
      <c r="M6" s="58"/>
      <c r="N6" s="7" t="str">
        <f>IF(MasterARReport[[#This Row],[Outstanding Amount]]=0, "PAID", "PENDING")</f>
        <v>PENDING</v>
      </c>
    </row>
    <row r="7" spans="1:14" x14ac:dyDescent="0.3">
      <c r="A7" s="56">
        <v>6</v>
      </c>
      <c r="B7" s="56" t="s">
        <v>224</v>
      </c>
      <c r="C7" s="57">
        <v>46144</v>
      </c>
      <c r="D7" s="58" t="s">
        <v>236</v>
      </c>
      <c r="E7" s="58" t="s">
        <v>233</v>
      </c>
      <c r="F7" s="59">
        <v>9035</v>
      </c>
      <c r="G7" s="60">
        <v>46189</v>
      </c>
      <c r="H7" s="61">
        <v>0</v>
      </c>
      <c r="I7" s="61">
        <f t="shared" si="0"/>
        <v>9035</v>
      </c>
      <c r="J7" s="58">
        <f t="shared" ca="1" si="1"/>
        <v>0</v>
      </c>
      <c r="K7" s="58" t="str">
        <f t="shared" ca="1" si="2"/>
        <v>0-30 Days</v>
      </c>
      <c r="L7" s="58" t="str">
        <f t="shared" ca="1" si="3"/>
        <v>Low</v>
      </c>
      <c r="M7" s="58"/>
      <c r="N7" s="7" t="str">
        <f>IF(MasterARReport[[#This Row],[Outstanding Amount]]=0, "PAID", "PENDING")</f>
        <v>PENDING</v>
      </c>
    </row>
    <row r="8" spans="1:14" x14ac:dyDescent="0.3">
      <c r="A8" s="56">
        <v>7</v>
      </c>
      <c r="B8" s="56" t="s">
        <v>224</v>
      </c>
      <c r="C8" s="57">
        <v>46148</v>
      </c>
      <c r="D8" s="58" t="s">
        <v>237</v>
      </c>
      <c r="E8" s="58" t="s">
        <v>233</v>
      </c>
      <c r="F8" s="59">
        <v>19731</v>
      </c>
      <c r="G8" s="60">
        <v>46193</v>
      </c>
      <c r="H8" s="61">
        <v>0</v>
      </c>
      <c r="I8" s="61">
        <f t="shared" si="0"/>
        <v>19731</v>
      </c>
      <c r="J8" s="58">
        <f t="shared" ca="1" si="1"/>
        <v>0</v>
      </c>
      <c r="K8" s="58" t="str">
        <f t="shared" ca="1" si="2"/>
        <v>0-30 Days</v>
      </c>
      <c r="L8" s="58" t="str">
        <f t="shared" ca="1" si="3"/>
        <v>Low</v>
      </c>
      <c r="M8" s="58"/>
      <c r="N8" s="7" t="str">
        <f>IF(MasterARReport[[#This Row],[Outstanding Amount]]=0, "PAID", "PENDING")</f>
        <v>PENDING</v>
      </c>
    </row>
    <row r="9" spans="1:14" x14ac:dyDescent="0.3">
      <c r="A9" s="56">
        <v>8</v>
      </c>
      <c r="B9" s="56" t="s">
        <v>224</v>
      </c>
      <c r="C9" s="57">
        <v>46136</v>
      </c>
      <c r="D9" s="58" t="s">
        <v>238</v>
      </c>
      <c r="E9" s="58" t="s">
        <v>239</v>
      </c>
      <c r="F9" s="59">
        <v>13163</v>
      </c>
      <c r="G9" s="60">
        <v>46181</v>
      </c>
      <c r="H9" s="61">
        <v>0</v>
      </c>
      <c r="I9" s="61">
        <f t="shared" si="0"/>
        <v>13163</v>
      </c>
      <c r="J9" s="58">
        <f t="shared" ca="1" si="1"/>
        <v>0</v>
      </c>
      <c r="K9" s="58" t="str">
        <f t="shared" ca="1" si="2"/>
        <v>0-30 Days</v>
      </c>
      <c r="L9" s="58" t="str">
        <f t="shared" ca="1" si="3"/>
        <v>Low</v>
      </c>
      <c r="M9" s="58"/>
      <c r="N9" s="7" t="str">
        <f>IF(MasterARReport[[#This Row],[Outstanding Amount]]=0, "PAID", "PENDING")</f>
        <v>PENDING</v>
      </c>
    </row>
    <row r="10" spans="1:14" x14ac:dyDescent="0.3">
      <c r="A10" s="56">
        <v>9</v>
      </c>
      <c r="B10" s="56" t="s">
        <v>224</v>
      </c>
      <c r="C10" s="57">
        <v>46142</v>
      </c>
      <c r="D10" s="58" t="s">
        <v>240</v>
      </c>
      <c r="E10" s="58" t="s">
        <v>239</v>
      </c>
      <c r="F10" s="59">
        <v>48979</v>
      </c>
      <c r="G10" s="60">
        <v>46187</v>
      </c>
      <c r="H10" s="61">
        <v>0</v>
      </c>
      <c r="I10" s="61">
        <f t="shared" si="0"/>
        <v>48979</v>
      </c>
      <c r="J10" s="58">
        <f t="shared" ca="1" si="1"/>
        <v>0</v>
      </c>
      <c r="K10" s="58" t="str">
        <f t="shared" ca="1" si="2"/>
        <v>0-30 Days</v>
      </c>
      <c r="L10" s="58" t="str">
        <f t="shared" ca="1" si="3"/>
        <v>Low</v>
      </c>
      <c r="M10" s="58"/>
      <c r="N10" s="7" t="str">
        <f>IF(MasterARReport[[#This Row],[Outstanding Amount]]=0, "PAID", "PENDING")</f>
        <v>PENDING</v>
      </c>
    </row>
    <row r="11" spans="1:14" x14ac:dyDescent="0.3">
      <c r="A11" s="56">
        <v>10</v>
      </c>
      <c r="B11" s="56" t="s">
        <v>224</v>
      </c>
      <c r="C11" s="57">
        <v>46144</v>
      </c>
      <c r="D11" s="58" t="s">
        <v>241</v>
      </c>
      <c r="E11" s="58" t="s">
        <v>239</v>
      </c>
      <c r="F11" s="59">
        <v>22969</v>
      </c>
      <c r="G11" s="60">
        <v>46189</v>
      </c>
      <c r="H11" s="61">
        <f>[1]PAYMENTS!C4</f>
        <v>22969</v>
      </c>
      <c r="I11" s="61">
        <f t="shared" si="0"/>
        <v>0</v>
      </c>
      <c r="J11" s="58">
        <f t="shared" ca="1" si="1"/>
        <v>0</v>
      </c>
      <c r="K11" s="58" t="str">
        <f t="shared" si="2"/>
        <v>Current</v>
      </c>
      <c r="L11" s="58" t="str">
        <f t="shared" si="3"/>
        <v>-</v>
      </c>
      <c r="M11" s="58" t="str">
        <f>[1]PAYMENTS!D4</f>
        <v>Paid by Bank Transfer</v>
      </c>
      <c r="N11" s="7" t="str">
        <f>IF(MasterARReport[[#This Row],[Outstanding Amount]]=0, "PAID", "PENDING")</f>
        <v>PAID</v>
      </c>
    </row>
    <row r="12" spans="1:14" x14ac:dyDescent="0.3">
      <c r="A12" s="26">
        <v>11</v>
      </c>
      <c r="B12" s="26" t="s">
        <v>224</v>
      </c>
      <c r="C12" s="27">
        <v>46149</v>
      </c>
      <c r="D12" s="7" t="s">
        <v>242</v>
      </c>
      <c r="E12" s="7" t="s">
        <v>239</v>
      </c>
      <c r="F12" s="28">
        <v>14355</v>
      </c>
      <c r="G12" s="29">
        <v>46150</v>
      </c>
      <c r="H12" s="30">
        <f>[1]PAYMENTS!C5</f>
        <v>14355</v>
      </c>
      <c r="I12" s="30">
        <f t="shared" si="0"/>
        <v>0</v>
      </c>
      <c r="J12" s="7">
        <f t="shared" ca="1" si="1"/>
        <v>23</v>
      </c>
      <c r="K12" s="7" t="str">
        <f t="shared" si="2"/>
        <v>Current</v>
      </c>
      <c r="L12" s="7" t="str">
        <f t="shared" si="3"/>
        <v>-</v>
      </c>
      <c r="M12" s="58" t="str">
        <f>[1]PAYMENTS!D5</f>
        <v>Paid by Bank Transfer</v>
      </c>
      <c r="N12" s="7" t="str">
        <f>IF(MasterARReport[[#This Row],[Outstanding Amount]]=0, "PAID", "PENDING")</f>
        <v>PAID</v>
      </c>
    </row>
    <row r="13" spans="1:14" x14ac:dyDescent="0.3">
      <c r="A13" s="37">
        <v>12</v>
      </c>
      <c r="B13" s="37" t="s">
        <v>224</v>
      </c>
      <c r="C13" s="38">
        <v>46157</v>
      </c>
      <c r="D13" s="39" t="s">
        <v>243</v>
      </c>
      <c r="E13" s="39" t="s">
        <v>239</v>
      </c>
      <c r="F13" s="40">
        <v>3281</v>
      </c>
      <c r="G13" s="41">
        <v>46158</v>
      </c>
      <c r="H13" s="30">
        <f>[1]PAYMENTS!C6</f>
        <v>3281</v>
      </c>
      <c r="I13" s="42">
        <f t="shared" si="0"/>
        <v>0</v>
      </c>
      <c r="J13" s="39">
        <f t="shared" ca="1" si="1"/>
        <v>15</v>
      </c>
      <c r="K13" s="39" t="str">
        <f t="shared" si="2"/>
        <v>Current</v>
      </c>
      <c r="L13" s="39" t="str">
        <f t="shared" si="3"/>
        <v>-</v>
      </c>
      <c r="M13" s="58" t="str">
        <f>[1]PAYMENTS!D6</f>
        <v>Paid by Bank Transfer</v>
      </c>
      <c r="N13" s="7" t="str">
        <f>IF(MasterARReport[[#This Row],[Outstanding Amount]]=0, "PAID", "PENDING")</f>
        <v>PAID</v>
      </c>
    </row>
    <row r="14" spans="1:14" x14ac:dyDescent="0.3">
      <c r="A14" s="26">
        <v>13</v>
      </c>
      <c r="B14" s="26" t="s">
        <v>224</v>
      </c>
      <c r="C14" s="27">
        <v>46158</v>
      </c>
      <c r="D14" s="7" t="s">
        <v>244</v>
      </c>
      <c r="E14" s="7" t="s">
        <v>239</v>
      </c>
      <c r="F14" s="28">
        <v>8756</v>
      </c>
      <c r="G14" s="29">
        <v>46159</v>
      </c>
      <c r="H14" s="30">
        <f>[1]PAYMENTS!C7</f>
        <v>8756</v>
      </c>
      <c r="I14" s="30">
        <f t="shared" si="0"/>
        <v>0</v>
      </c>
      <c r="J14" s="7">
        <f t="shared" ca="1" si="1"/>
        <v>14</v>
      </c>
      <c r="K14" s="7" t="str">
        <f t="shared" si="2"/>
        <v>Current</v>
      </c>
      <c r="L14" s="7" t="str">
        <f t="shared" si="3"/>
        <v>-</v>
      </c>
      <c r="M14" s="58" t="str">
        <f>[1]PAYMENTS!D7</f>
        <v>Paid by Bank Transfer</v>
      </c>
      <c r="N14" s="7" t="str">
        <f>IF(MasterARReport[[#This Row],[Outstanding Amount]]=0, "PAID", "PENDING")</f>
        <v>PAID</v>
      </c>
    </row>
    <row r="15" spans="1:14" x14ac:dyDescent="0.3">
      <c r="A15" s="31">
        <v>14</v>
      </c>
      <c r="B15" s="31" t="s">
        <v>224</v>
      </c>
      <c r="C15" s="32">
        <v>45705</v>
      </c>
      <c r="D15" s="33" t="s">
        <v>245</v>
      </c>
      <c r="E15" s="33" t="s">
        <v>246</v>
      </c>
      <c r="F15" s="34">
        <v>560</v>
      </c>
      <c r="G15" s="35">
        <v>45705</v>
      </c>
      <c r="H15" s="36">
        <v>0</v>
      </c>
      <c r="I15" s="36">
        <f t="shared" si="0"/>
        <v>560</v>
      </c>
      <c r="J15" s="33">
        <f t="shared" ca="1" si="1"/>
        <v>468</v>
      </c>
      <c r="K15" s="33" t="str">
        <f t="shared" ca="1" si="2"/>
        <v>90+ Days</v>
      </c>
      <c r="L15" s="33" t="str">
        <f t="shared" ca="1" si="3"/>
        <v>HIGH RISK</v>
      </c>
      <c r="M15" s="33" t="s">
        <v>247</v>
      </c>
      <c r="N15" s="7" t="str">
        <f>IF(MasterARReport[[#This Row],[Outstanding Amount]]=0, "PAID", "PENDING")</f>
        <v>PENDING</v>
      </c>
    </row>
    <row r="16" spans="1:14" x14ac:dyDescent="0.3">
      <c r="A16" s="8">
        <v>15</v>
      </c>
      <c r="B16" s="8" t="s">
        <v>224</v>
      </c>
      <c r="C16" s="9">
        <v>45708</v>
      </c>
      <c r="D16" s="10" t="s">
        <v>248</v>
      </c>
      <c r="E16" s="10" t="s">
        <v>246</v>
      </c>
      <c r="F16" s="11">
        <v>103.36</v>
      </c>
      <c r="G16" s="12">
        <v>45708</v>
      </c>
      <c r="H16" s="13">
        <v>0</v>
      </c>
      <c r="I16" s="13">
        <f t="shared" si="0"/>
        <v>103.36</v>
      </c>
      <c r="J16" s="10">
        <f t="shared" ca="1" si="1"/>
        <v>465</v>
      </c>
      <c r="K16" s="10" t="str">
        <f t="shared" ca="1" si="2"/>
        <v>90+ Days</v>
      </c>
      <c r="L16" s="10" t="str">
        <f t="shared" ca="1" si="3"/>
        <v>HIGH RISK</v>
      </c>
      <c r="M16" s="10" t="s">
        <v>247</v>
      </c>
      <c r="N16" s="7" t="str">
        <f>IF(MasterARReport[[#This Row],[Outstanding Amount]]=0, "PAID", "PENDING")</f>
        <v>PENDING</v>
      </c>
    </row>
    <row r="17" spans="1:14" x14ac:dyDescent="0.3">
      <c r="A17" s="56">
        <v>16</v>
      </c>
      <c r="B17" s="56" t="s">
        <v>224</v>
      </c>
      <c r="C17" s="57">
        <v>46144</v>
      </c>
      <c r="D17" s="58" t="s">
        <v>249</v>
      </c>
      <c r="E17" s="58" t="s">
        <v>250</v>
      </c>
      <c r="F17" s="59">
        <v>14781</v>
      </c>
      <c r="G17" s="60">
        <v>46174</v>
      </c>
      <c r="H17" s="61">
        <v>0</v>
      </c>
      <c r="I17" s="61">
        <f t="shared" si="0"/>
        <v>14781</v>
      </c>
      <c r="J17" s="58">
        <f t="shared" ca="1" si="1"/>
        <v>0</v>
      </c>
      <c r="K17" s="58" t="str">
        <f t="shared" ca="1" si="2"/>
        <v>0-30 Days</v>
      </c>
      <c r="L17" s="58" t="str">
        <f t="shared" ca="1" si="3"/>
        <v>Low</v>
      </c>
      <c r="M17" s="58"/>
      <c r="N17" s="7" t="str">
        <f>IF(MasterARReport[[#This Row],[Outstanding Amount]]=0, "PAID", "PENDING")</f>
        <v>PENDING</v>
      </c>
    </row>
    <row r="18" spans="1:14" x14ac:dyDescent="0.3">
      <c r="A18" s="26">
        <v>17</v>
      </c>
      <c r="B18" s="26" t="s">
        <v>224</v>
      </c>
      <c r="C18" s="27">
        <v>46150</v>
      </c>
      <c r="D18" s="7" t="s">
        <v>251</v>
      </c>
      <c r="E18" s="7" t="s">
        <v>250</v>
      </c>
      <c r="F18" s="28">
        <v>12783</v>
      </c>
      <c r="G18" s="29">
        <v>46151</v>
      </c>
      <c r="H18" s="30">
        <v>12783</v>
      </c>
      <c r="I18" s="30">
        <f t="shared" si="0"/>
        <v>0</v>
      </c>
      <c r="J18" s="7">
        <f t="shared" ca="1" si="1"/>
        <v>22</v>
      </c>
      <c r="K18" s="7" t="str">
        <f t="shared" si="2"/>
        <v>Current</v>
      </c>
      <c r="L18" s="7" t="str">
        <f t="shared" si="3"/>
        <v>-</v>
      </c>
      <c r="M18" s="7" t="s">
        <v>252</v>
      </c>
      <c r="N18" s="7" t="str">
        <f>IF(MasterARReport[[#This Row],[Outstanding Amount]]=0, "PAID", "PENDING")</f>
        <v>PAID</v>
      </c>
    </row>
    <row r="19" spans="1:14" x14ac:dyDescent="0.3">
      <c r="A19" s="31">
        <v>18</v>
      </c>
      <c r="B19" s="31" t="s">
        <v>224</v>
      </c>
      <c r="C19" s="32">
        <v>45667</v>
      </c>
      <c r="D19" s="33" t="s">
        <v>253</v>
      </c>
      <c r="E19" s="33" t="s">
        <v>254</v>
      </c>
      <c r="F19" s="34">
        <v>92000</v>
      </c>
      <c r="G19" s="35">
        <v>45667</v>
      </c>
      <c r="H19" s="36">
        <v>0</v>
      </c>
      <c r="I19" s="36">
        <f t="shared" si="0"/>
        <v>92000</v>
      </c>
      <c r="J19" s="33">
        <f t="shared" ca="1" si="1"/>
        <v>506</v>
      </c>
      <c r="K19" s="33" t="str">
        <f t="shared" ca="1" si="2"/>
        <v>90+ Days</v>
      </c>
      <c r="L19" s="33" t="str">
        <f t="shared" ca="1" si="3"/>
        <v>HIGH RISK</v>
      </c>
      <c r="M19" s="33" t="s">
        <v>255</v>
      </c>
      <c r="N19" s="7" t="str">
        <f>IF(MasterARReport[[#This Row],[Outstanding Amount]]=0, "PAID", "PENDING")</f>
        <v>PENDING</v>
      </c>
    </row>
    <row r="20" spans="1:14" x14ac:dyDescent="0.3">
      <c r="A20" s="43">
        <v>19</v>
      </c>
      <c r="B20" s="43" t="s">
        <v>224</v>
      </c>
      <c r="C20" s="44">
        <v>46044</v>
      </c>
      <c r="D20" s="45" t="s">
        <v>256</v>
      </c>
      <c r="E20" s="45" t="s">
        <v>254</v>
      </c>
      <c r="F20" s="46">
        <v>74393</v>
      </c>
      <c r="G20" s="47">
        <v>46089</v>
      </c>
      <c r="H20" s="48">
        <v>0</v>
      </c>
      <c r="I20" s="48">
        <f t="shared" si="0"/>
        <v>74393</v>
      </c>
      <c r="J20" s="45">
        <f t="shared" ca="1" si="1"/>
        <v>84</v>
      </c>
      <c r="K20" s="45" t="str">
        <f t="shared" ca="1" si="2"/>
        <v>61-90 Days</v>
      </c>
      <c r="L20" s="45" t="str">
        <f t="shared" ca="1" si="3"/>
        <v>Medium</v>
      </c>
      <c r="M20" s="45" t="s">
        <v>257</v>
      </c>
      <c r="N20" s="7" t="str">
        <f>IF(MasterARReport[[#This Row],[Outstanding Amount]]=0, "PAID", "PENDING")</f>
        <v>PENDING</v>
      </c>
    </row>
    <row r="21" spans="1:14" x14ac:dyDescent="0.3">
      <c r="A21" s="14">
        <v>20</v>
      </c>
      <c r="B21" s="14" t="s">
        <v>224</v>
      </c>
      <c r="C21" s="15">
        <v>46045</v>
      </c>
      <c r="D21" s="16" t="s">
        <v>258</v>
      </c>
      <c r="E21" s="16" t="s">
        <v>254</v>
      </c>
      <c r="F21" s="17">
        <v>263334</v>
      </c>
      <c r="G21" s="18">
        <v>46090</v>
      </c>
      <c r="H21" s="19">
        <v>0</v>
      </c>
      <c r="I21" s="19">
        <f t="shared" si="0"/>
        <v>263334</v>
      </c>
      <c r="J21" s="16">
        <f t="shared" ca="1" si="1"/>
        <v>83</v>
      </c>
      <c r="K21" s="16" t="str">
        <f t="shared" ca="1" si="2"/>
        <v>61-90 Days</v>
      </c>
      <c r="L21" s="16" t="str">
        <f t="shared" ca="1" si="3"/>
        <v>Medium</v>
      </c>
      <c r="M21" s="16" t="s">
        <v>257</v>
      </c>
      <c r="N21" s="7" t="str">
        <f>IF(MasterARReport[[#This Row],[Outstanding Amount]]=0, "PAID", "PENDING")</f>
        <v>PENDING</v>
      </c>
    </row>
    <row r="22" spans="1:14" x14ac:dyDescent="0.3">
      <c r="A22" s="43">
        <v>21</v>
      </c>
      <c r="B22" s="43" t="s">
        <v>224</v>
      </c>
      <c r="C22" s="44">
        <v>46045</v>
      </c>
      <c r="D22" s="45" t="s">
        <v>259</v>
      </c>
      <c r="E22" s="45" t="s">
        <v>254</v>
      </c>
      <c r="F22" s="46">
        <v>60364</v>
      </c>
      <c r="G22" s="47">
        <v>46090</v>
      </c>
      <c r="H22" s="48">
        <v>0</v>
      </c>
      <c r="I22" s="48">
        <f t="shared" si="0"/>
        <v>60364</v>
      </c>
      <c r="J22" s="45">
        <f t="shared" ca="1" si="1"/>
        <v>83</v>
      </c>
      <c r="K22" s="45" t="str">
        <f t="shared" ca="1" si="2"/>
        <v>61-90 Days</v>
      </c>
      <c r="L22" s="45" t="str">
        <f t="shared" ca="1" si="3"/>
        <v>Medium</v>
      </c>
      <c r="M22" s="45" t="s">
        <v>257</v>
      </c>
      <c r="N22" s="7" t="str">
        <f>IF(MasterARReport[[#This Row],[Outstanding Amount]]=0, "PAID", "PENDING")</f>
        <v>PENDING</v>
      </c>
    </row>
    <row r="23" spans="1:14" x14ac:dyDescent="0.3">
      <c r="A23" s="14">
        <v>22</v>
      </c>
      <c r="B23" s="14" t="s">
        <v>224</v>
      </c>
      <c r="C23" s="15">
        <v>46045</v>
      </c>
      <c r="D23" s="16" t="s">
        <v>260</v>
      </c>
      <c r="E23" s="16" t="s">
        <v>254</v>
      </c>
      <c r="F23" s="17">
        <v>30132</v>
      </c>
      <c r="G23" s="18">
        <v>46090</v>
      </c>
      <c r="H23" s="19">
        <v>0</v>
      </c>
      <c r="I23" s="19">
        <f t="shared" si="0"/>
        <v>30132</v>
      </c>
      <c r="J23" s="16">
        <f t="shared" ca="1" si="1"/>
        <v>83</v>
      </c>
      <c r="K23" s="16" t="str">
        <f t="shared" ca="1" si="2"/>
        <v>61-90 Days</v>
      </c>
      <c r="L23" s="16" t="str">
        <f t="shared" ca="1" si="3"/>
        <v>Medium</v>
      </c>
      <c r="M23" s="16" t="s">
        <v>257</v>
      </c>
      <c r="N23" s="7" t="str">
        <f>IF(MasterARReport[[#This Row],[Outstanding Amount]]=0, "PAID", "PENDING")</f>
        <v>PENDING</v>
      </c>
    </row>
    <row r="24" spans="1:14" x14ac:dyDescent="0.3">
      <c r="A24" s="43">
        <v>23</v>
      </c>
      <c r="B24" s="43" t="s">
        <v>224</v>
      </c>
      <c r="C24" s="44">
        <v>46055</v>
      </c>
      <c r="D24" s="45" t="s">
        <v>261</v>
      </c>
      <c r="E24" s="45" t="s">
        <v>254</v>
      </c>
      <c r="F24" s="46">
        <v>304908</v>
      </c>
      <c r="G24" s="47">
        <v>46100</v>
      </c>
      <c r="H24" s="48">
        <v>0</v>
      </c>
      <c r="I24" s="48">
        <f t="shared" si="0"/>
        <v>304908</v>
      </c>
      <c r="J24" s="45">
        <f t="shared" ca="1" si="1"/>
        <v>73</v>
      </c>
      <c r="K24" s="45" t="str">
        <f t="shared" ca="1" si="2"/>
        <v>61-90 Days</v>
      </c>
      <c r="L24" s="45" t="str">
        <f t="shared" ca="1" si="3"/>
        <v>Medium</v>
      </c>
      <c r="M24" s="45" t="s">
        <v>257</v>
      </c>
      <c r="N24" s="7" t="str">
        <f>IF(MasterARReport[[#This Row],[Outstanding Amount]]=0, "PAID", "PENDING")</f>
        <v>PENDING</v>
      </c>
    </row>
    <row r="25" spans="1:14" x14ac:dyDescent="0.3">
      <c r="A25" s="1">
        <v>24</v>
      </c>
      <c r="B25" s="1" t="s">
        <v>224</v>
      </c>
      <c r="C25" s="2">
        <v>46067</v>
      </c>
      <c r="D25" s="3" t="s">
        <v>262</v>
      </c>
      <c r="E25" s="3" t="s">
        <v>254</v>
      </c>
      <c r="F25" s="4">
        <v>51332</v>
      </c>
      <c r="G25" s="5">
        <v>46112</v>
      </c>
      <c r="H25" s="6">
        <v>0</v>
      </c>
      <c r="I25" s="6">
        <f t="shared" si="0"/>
        <v>51332</v>
      </c>
      <c r="J25" s="3">
        <f t="shared" ca="1" si="1"/>
        <v>61</v>
      </c>
      <c r="K25" s="3" t="str">
        <f t="shared" ca="1" si="2"/>
        <v>61-90 Days</v>
      </c>
      <c r="L25" s="3" t="str">
        <f t="shared" ca="1" si="3"/>
        <v>Medium</v>
      </c>
      <c r="M25" s="3" t="s">
        <v>257</v>
      </c>
      <c r="N25" s="7" t="str">
        <f>IF(MasterARReport[[#This Row],[Outstanding Amount]]=0, "PAID", "PENDING")</f>
        <v>PENDING</v>
      </c>
    </row>
    <row r="26" spans="1:14" x14ac:dyDescent="0.3">
      <c r="A26" s="20">
        <v>25</v>
      </c>
      <c r="B26" s="20" t="s">
        <v>224</v>
      </c>
      <c r="C26" s="21">
        <v>46076</v>
      </c>
      <c r="D26" s="22" t="s">
        <v>263</v>
      </c>
      <c r="E26" s="22" t="s">
        <v>254</v>
      </c>
      <c r="F26" s="23">
        <v>11979</v>
      </c>
      <c r="G26" s="24">
        <v>46121</v>
      </c>
      <c r="H26" s="25">
        <v>0</v>
      </c>
      <c r="I26" s="25">
        <f t="shared" si="0"/>
        <v>11979</v>
      </c>
      <c r="J26" s="22">
        <f t="shared" ca="1" si="1"/>
        <v>52</v>
      </c>
      <c r="K26" s="22" t="str">
        <f t="shared" ca="1" si="2"/>
        <v>31-60 Days</v>
      </c>
      <c r="L26" s="22" t="str">
        <f t="shared" ca="1" si="3"/>
        <v>Low-Medium</v>
      </c>
      <c r="M26" s="22" t="s">
        <v>257</v>
      </c>
      <c r="N26" s="7" t="str">
        <f>IF(MasterARReport[[#This Row],[Outstanding Amount]]=0, "PAID", "PENDING")</f>
        <v>PENDING</v>
      </c>
    </row>
    <row r="27" spans="1:14" x14ac:dyDescent="0.3">
      <c r="A27" s="1">
        <v>26</v>
      </c>
      <c r="B27" s="1" t="s">
        <v>224</v>
      </c>
      <c r="C27" s="2">
        <v>46076</v>
      </c>
      <c r="D27" s="3" t="s">
        <v>264</v>
      </c>
      <c r="E27" s="3" t="s">
        <v>254</v>
      </c>
      <c r="F27" s="4">
        <v>6291</v>
      </c>
      <c r="G27" s="5">
        <v>46121</v>
      </c>
      <c r="H27" s="6">
        <v>0</v>
      </c>
      <c r="I27" s="6">
        <f t="shared" si="0"/>
        <v>6291</v>
      </c>
      <c r="J27" s="3">
        <f t="shared" ca="1" si="1"/>
        <v>52</v>
      </c>
      <c r="K27" s="3" t="str">
        <f t="shared" ca="1" si="2"/>
        <v>31-60 Days</v>
      </c>
      <c r="L27" s="3" t="str">
        <f t="shared" ca="1" si="3"/>
        <v>Low-Medium</v>
      </c>
      <c r="M27" s="3" t="s">
        <v>257</v>
      </c>
      <c r="N27" s="7" t="str">
        <f>IF(MasterARReport[[#This Row],[Outstanding Amount]]=0, "PAID", "PENDING")</f>
        <v>PENDING</v>
      </c>
    </row>
    <row r="28" spans="1:14" x14ac:dyDescent="0.3">
      <c r="A28" s="20">
        <v>27</v>
      </c>
      <c r="B28" s="20" t="s">
        <v>224</v>
      </c>
      <c r="C28" s="21">
        <v>46076</v>
      </c>
      <c r="D28" s="22" t="s">
        <v>265</v>
      </c>
      <c r="E28" s="22" t="s">
        <v>254</v>
      </c>
      <c r="F28" s="23">
        <v>7296</v>
      </c>
      <c r="G28" s="24">
        <v>46121</v>
      </c>
      <c r="H28" s="25">
        <v>0</v>
      </c>
      <c r="I28" s="25">
        <f t="shared" si="0"/>
        <v>7296</v>
      </c>
      <c r="J28" s="22">
        <f t="shared" ca="1" si="1"/>
        <v>52</v>
      </c>
      <c r="K28" s="22" t="str">
        <f t="shared" ca="1" si="2"/>
        <v>31-60 Days</v>
      </c>
      <c r="L28" s="22" t="str">
        <f t="shared" ca="1" si="3"/>
        <v>Low-Medium</v>
      </c>
      <c r="M28" s="22" t="s">
        <v>257</v>
      </c>
      <c r="N28" s="7" t="str">
        <f>IF(MasterARReport[[#This Row],[Outstanding Amount]]=0, "PAID", "PENDING")</f>
        <v>PENDING</v>
      </c>
    </row>
    <row r="29" spans="1:14" x14ac:dyDescent="0.3">
      <c r="A29" s="1">
        <v>28</v>
      </c>
      <c r="B29" s="1" t="s">
        <v>224</v>
      </c>
      <c r="C29" s="2">
        <v>46090</v>
      </c>
      <c r="D29" s="3" t="s">
        <v>266</v>
      </c>
      <c r="E29" s="3" t="s">
        <v>254</v>
      </c>
      <c r="F29" s="4">
        <v>17417</v>
      </c>
      <c r="G29" s="5">
        <v>46135</v>
      </c>
      <c r="H29" s="6">
        <v>0</v>
      </c>
      <c r="I29" s="6">
        <f t="shared" si="0"/>
        <v>17417</v>
      </c>
      <c r="J29" s="3">
        <f t="shared" ca="1" si="1"/>
        <v>38</v>
      </c>
      <c r="K29" s="3" t="str">
        <f t="shared" ca="1" si="2"/>
        <v>31-60 Days</v>
      </c>
      <c r="L29" s="3" t="str">
        <f t="shared" ca="1" si="3"/>
        <v>Low-Medium</v>
      </c>
      <c r="M29" s="3" t="s">
        <v>257</v>
      </c>
      <c r="N29" s="7" t="str">
        <f>IF(MasterARReport[[#This Row],[Outstanding Amount]]=0, "PAID", "PENDING")</f>
        <v>PENDING</v>
      </c>
    </row>
    <row r="30" spans="1:14" x14ac:dyDescent="0.3">
      <c r="A30" s="26">
        <v>29</v>
      </c>
      <c r="B30" s="26" t="s">
        <v>224</v>
      </c>
      <c r="C30" s="27">
        <v>46121</v>
      </c>
      <c r="D30" s="7" t="s">
        <v>267</v>
      </c>
      <c r="E30" s="7" t="s">
        <v>254</v>
      </c>
      <c r="F30" s="28">
        <v>188677</v>
      </c>
      <c r="G30" s="29">
        <v>46166</v>
      </c>
      <c r="H30" s="30">
        <v>0</v>
      </c>
      <c r="I30" s="30">
        <f t="shared" si="0"/>
        <v>188677</v>
      </c>
      <c r="J30" s="7">
        <f t="shared" ca="1" si="1"/>
        <v>7</v>
      </c>
      <c r="K30" s="7" t="str">
        <f t="shared" ca="1" si="2"/>
        <v>0-30 Days</v>
      </c>
      <c r="L30" s="7" t="str">
        <f t="shared" ca="1" si="3"/>
        <v>Low</v>
      </c>
      <c r="M30" s="7" t="s">
        <v>257</v>
      </c>
      <c r="N30" s="7" t="str">
        <f>IF(MasterARReport[[#This Row],[Outstanding Amount]]=0, "PAID", "PENDING")</f>
        <v>PENDING</v>
      </c>
    </row>
    <row r="31" spans="1:14" x14ac:dyDescent="0.3">
      <c r="A31" s="37">
        <v>30</v>
      </c>
      <c r="B31" s="37" t="s">
        <v>224</v>
      </c>
      <c r="C31" s="38">
        <v>46121</v>
      </c>
      <c r="D31" s="39" t="s">
        <v>268</v>
      </c>
      <c r="E31" s="39" t="s">
        <v>254</v>
      </c>
      <c r="F31" s="40">
        <v>125895</v>
      </c>
      <c r="G31" s="41">
        <v>46166</v>
      </c>
      <c r="H31" s="42">
        <v>0</v>
      </c>
      <c r="I31" s="42">
        <f t="shared" si="0"/>
        <v>125895</v>
      </c>
      <c r="J31" s="39">
        <f t="shared" ca="1" si="1"/>
        <v>7</v>
      </c>
      <c r="K31" s="39" t="str">
        <f t="shared" ca="1" si="2"/>
        <v>0-30 Days</v>
      </c>
      <c r="L31" s="39" t="str">
        <f t="shared" ca="1" si="3"/>
        <v>Low</v>
      </c>
      <c r="M31" s="39" t="s">
        <v>257</v>
      </c>
      <c r="N31" s="7" t="str">
        <f>IF(MasterARReport[[#This Row],[Outstanding Amount]]=0, "PAID", "PENDING")</f>
        <v>PENDING</v>
      </c>
    </row>
    <row r="32" spans="1:14" x14ac:dyDescent="0.3">
      <c r="A32" s="26">
        <v>31</v>
      </c>
      <c r="B32" s="26" t="s">
        <v>224</v>
      </c>
      <c r="C32" s="27">
        <v>46121</v>
      </c>
      <c r="D32" s="7" t="s">
        <v>269</v>
      </c>
      <c r="E32" s="7" t="s">
        <v>254</v>
      </c>
      <c r="F32" s="28">
        <v>176081</v>
      </c>
      <c r="G32" s="29">
        <v>46166</v>
      </c>
      <c r="H32" s="30">
        <v>0</v>
      </c>
      <c r="I32" s="30">
        <f t="shared" si="0"/>
        <v>176081</v>
      </c>
      <c r="J32" s="7">
        <f t="shared" ca="1" si="1"/>
        <v>7</v>
      </c>
      <c r="K32" s="7" t="str">
        <f t="shared" ca="1" si="2"/>
        <v>0-30 Days</v>
      </c>
      <c r="L32" s="7" t="str">
        <f t="shared" ca="1" si="3"/>
        <v>Low</v>
      </c>
      <c r="M32" s="7" t="s">
        <v>257</v>
      </c>
      <c r="N32" s="7" t="str">
        <f>IF(MasterARReport[[#This Row],[Outstanding Amount]]=0, "PAID", "PENDING")</f>
        <v>PENDING</v>
      </c>
    </row>
    <row r="33" spans="1:14" x14ac:dyDescent="0.3">
      <c r="A33" s="37">
        <v>32</v>
      </c>
      <c r="B33" s="37" t="s">
        <v>224</v>
      </c>
      <c r="C33" s="38">
        <v>46121</v>
      </c>
      <c r="D33" s="39" t="s">
        <v>270</v>
      </c>
      <c r="E33" s="39" t="s">
        <v>254</v>
      </c>
      <c r="F33" s="40">
        <v>101373</v>
      </c>
      <c r="G33" s="41">
        <v>46166</v>
      </c>
      <c r="H33" s="42">
        <v>0</v>
      </c>
      <c r="I33" s="42">
        <f t="shared" si="0"/>
        <v>101373</v>
      </c>
      <c r="J33" s="39">
        <f t="shared" ca="1" si="1"/>
        <v>7</v>
      </c>
      <c r="K33" s="39" t="str">
        <f t="shared" ca="1" si="2"/>
        <v>0-30 Days</v>
      </c>
      <c r="L33" s="39" t="str">
        <f t="shared" ca="1" si="3"/>
        <v>Low</v>
      </c>
      <c r="M33" s="39" t="s">
        <v>257</v>
      </c>
      <c r="N33" s="7" t="str">
        <f>IF(MasterARReport[[#This Row],[Outstanding Amount]]=0, "PAID", "PENDING")</f>
        <v>PENDING</v>
      </c>
    </row>
    <row r="34" spans="1:14" x14ac:dyDescent="0.3">
      <c r="A34" s="26">
        <v>33</v>
      </c>
      <c r="B34" s="26" t="s">
        <v>224</v>
      </c>
      <c r="C34" s="27">
        <v>46121</v>
      </c>
      <c r="D34" s="7" t="s">
        <v>271</v>
      </c>
      <c r="E34" s="7" t="s">
        <v>254</v>
      </c>
      <c r="F34" s="28">
        <v>16740</v>
      </c>
      <c r="G34" s="29">
        <v>46166</v>
      </c>
      <c r="H34" s="30">
        <v>0</v>
      </c>
      <c r="I34" s="30">
        <f t="shared" si="0"/>
        <v>16740</v>
      </c>
      <c r="J34" s="7">
        <f t="shared" ca="1" si="1"/>
        <v>7</v>
      </c>
      <c r="K34" s="7" t="str">
        <f t="shared" ca="1" si="2"/>
        <v>0-30 Days</v>
      </c>
      <c r="L34" s="7" t="str">
        <f t="shared" ca="1" si="3"/>
        <v>Low</v>
      </c>
      <c r="M34" s="7" t="s">
        <v>257</v>
      </c>
      <c r="N34" s="7" t="str">
        <f>IF(MasterARReport[[#This Row],[Outstanding Amount]]=0, "PAID", "PENDING")</f>
        <v>PENDING</v>
      </c>
    </row>
    <row r="35" spans="1:14" x14ac:dyDescent="0.3">
      <c r="A35" s="37">
        <v>34</v>
      </c>
      <c r="B35" s="37" t="s">
        <v>224</v>
      </c>
      <c r="C35" s="38">
        <v>46121</v>
      </c>
      <c r="D35" s="39" t="s">
        <v>272</v>
      </c>
      <c r="E35" s="39" t="s">
        <v>254</v>
      </c>
      <c r="F35" s="40">
        <v>34833</v>
      </c>
      <c r="G35" s="41">
        <v>46166</v>
      </c>
      <c r="H35" s="42">
        <v>0</v>
      </c>
      <c r="I35" s="42">
        <f t="shared" si="0"/>
        <v>34833</v>
      </c>
      <c r="J35" s="39">
        <f t="shared" ca="1" si="1"/>
        <v>7</v>
      </c>
      <c r="K35" s="39" t="str">
        <f t="shared" ca="1" si="2"/>
        <v>0-30 Days</v>
      </c>
      <c r="L35" s="39" t="str">
        <f t="shared" ca="1" si="3"/>
        <v>Low</v>
      </c>
      <c r="M35" s="39" t="s">
        <v>257</v>
      </c>
      <c r="N35" s="7" t="str">
        <f>IF(MasterARReport[[#This Row],[Outstanding Amount]]=0, "PAID", "PENDING")</f>
        <v>PENDING</v>
      </c>
    </row>
    <row r="36" spans="1:14" x14ac:dyDescent="0.3">
      <c r="A36" s="26">
        <v>35</v>
      </c>
      <c r="B36" s="26" t="s">
        <v>224</v>
      </c>
      <c r="C36" s="27">
        <v>46121</v>
      </c>
      <c r="D36" s="7" t="s">
        <v>273</v>
      </c>
      <c r="E36" s="7" t="s">
        <v>254</v>
      </c>
      <c r="F36" s="28">
        <v>743415</v>
      </c>
      <c r="G36" s="29">
        <v>46166</v>
      </c>
      <c r="H36" s="30">
        <v>0</v>
      </c>
      <c r="I36" s="30">
        <f t="shared" si="0"/>
        <v>743415</v>
      </c>
      <c r="J36" s="7">
        <f t="shared" ca="1" si="1"/>
        <v>7</v>
      </c>
      <c r="K36" s="7" t="str">
        <f t="shared" ca="1" si="2"/>
        <v>0-30 Days</v>
      </c>
      <c r="L36" s="7" t="str">
        <f t="shared" ca="1" si="3"/>
        <v>Low</v>
      </c>
      <c r="M36" s="7" t="s">
        <v>257</v>
      </c>
      <c r="N36" s="7" t="str">
        <f>IF(MasterARReport[[#This Row],[Outstanding Amount]]=0, "PAID", "PENDING")</f>
        <v>PENDING</v>
      </c>
    </row>
    <row r="37" spans="1:14" x14ac:dyDescent="0.3">
      <c r="A37" s="37">
        <v>36</v>
      </c>
      <c r="B37" s="37" t="s">
        <v>224</v>
      </c>
      <c r="C37" s="38">
        <v>46121</v>
      </c>
      <c r="D37" s="39" t="s">
        <v>274</v>
      </c>
      <c r="E37" s="39" t="s">
        <v>254</v>
      </c>
      <c r="F37" s="40">
        <v>371398</v>
      </c>
      <c r="G37" s="41">
        <v>46166</v>
      </c>
      <c r="H37" s="42">
        <v>0</v>
      </c>
      <c r="I37" s="42">
        <f t="shared" si="0"/>
        <v>371398</v>
      </c>
      <c r="J37" s="39">
        <f t="shared" ca="1" si="1"/>
        <v>7</v>
      </c>
      <c r="K37" s="39" t="str">
        <f t="shared" ca="1" si="2"/>
        <v>0-30 Days</v>
      </c>
      <c r="L37" s="39" t="str">
        <f t="shared" ca="1" si="3"/>
        <v>Low</v>
      </c>
      <c r="M37" s="39" t="s">
        <v>257</v>
      </c>
      <c r="N37" s="7" t="str">
        <f>IF(MasterARReport[[#This Row],[Outstanding Amount]]=0, "PAID", "PENDING")</f>
        <v>PENDING</v>
      </c>
    </row>
    <row r="38" spans="1:14" x14ac:dyDescent="0.3">
      <c r="A38" s="56">
        <v>37</v>
      </c>
      <c r="B38" s="56" t="s">
        <v>224</v>
      </c>
      <c r="C38" s="57">
        <v>46137</v>
      </c>
      <c r="D38" s="58" t="s">
        <v>275</v>
      </c>
      <c r="E38" s="58" t="s">
        <v>254</v>
      </c>
      <c r="F38" s="59">
        <v>111145</v>
      </c>
      <c r="G38" s="60">
        <v>46182</v>
      </c>
      <c r="H38" s="61">
        <v>0</v>
      </c>
      <c r="I38" s="61">
        <f t="shared" si="0"/>
        <v>111145</v>
      </c>
      <c r="J38" s="58">
        <f t="shared" ca="1" si="1"/>
        <v>0</v>
      </c>
      <c r="K38" s="58" t="str">
        <f t="shared" ca="1" si="2"/>
        <v>0-30 Days</v>
      </c>
      <c r="L38" s="58" t="str">
        <f t="shared" ca="1" si="3"/>
        <v>Low</v>
      </c>
      <c r="M38" s="58" t="s">
        <v>257</v>
      </c>
      <c r="N38" s="7" t="str">
        <f>IF(MasterARReport[[#This Row],[Outstanding Amount]]=0, "PAID", "PENDING")</f>
        <v>PENDING</v>
      </c>
    </row>
    <row r="39" spans="1:14" x14ac:dyDescent="0.3">
      <c r="A39" s="56">
        <v>38</v>
      </c>
      <c r="B39" s="56" t="s">
        <v>224</v>
      </c>
      <c r="C39" s="57">
        <v>46137</v>
      </c>
      <c r="D39" s="58" t="s">
        <v>276</v>
      </c>
      <c r="E39" s="58" t="s">
        <v>254</v>
      </c>
      <c r="F39" s="59">
        <v>119259</v>
      </c>
      <c r="G39" s="60">
        <v>46182</v>
      </c>
      <c r="H39" s="61">
        <v>0</v>
      </c>
      <c r="I39" s="61">
        <f t="shared" si="0"/>
        <v>119259</v>
      </c>
      <c r="J39" s="58">
        <f t="shared" ca="1" si="1"/>
        <v>0</v>
      </c>
      <c r="K39" s="58" t="str">
        <f t="shared" ca="1" si="2"/>
        <v>0-30 Days</v>
      </c>
      <c r="L39" s="58" t="str">
        <f t="shared" ca="1" si="3"/>
        <v>Low</v>
      </c>
      <c r="M39" s="58" t="s">
        <v>257</v>
      </c>
      <c r="N39" s="7" t="str">
        <f>IF(MasterARReport[[#This Row],[Outstanding Amount]]=0, "PAID", "PENDING")</f>
        <v>PENDING</v>
      </c>
    </row>
    <row r="40" spans="1:14" x14ac:dyDescent="0.3">
      <c r="A40" s="26">
        <v>39</v>
      </c>
      <c r="B40" s="26" t="s">
        <v>224</v>
      </c>
      <c r="C40" s="27">
        <v>46139</v>
      </c>
      <c r="D40" s="7" t="s">
        <v>277</v>
      </c>
      <c r="E40" s="7" t="s">
        <v>254</v>
      </c>
      <c r="F40" s="28">
        <v>547720</v>
      </c>
      <c r="G40" s="29">
        <v>46140</v>
      </c>
      <c r="H40" s="30">
        <v>0</v>
      </c>
      <c r="I40" s="30">
        <f t="shared" si="0"/>
        <v>547720</v>
      </c>
      <c r="J40" s="7">
        <f t="shared" ca="1" si="1"/>
        <v>33</v>
      </c>
      <c r="K40" s="7" t="str">
        <f t="shared" ca="1" si="2"/>
        <v>31-60 Days</v>
      </c>
      <c r="L40" s="7" t="str">
        <f t="shared" ca="1" si="3"/>
        <v>Low-Medium</v>
      </c>
      <c r="M40" s="7" t="s">
        <v>257</v>
      </c>
      <c r="N40" s="7" t="str">
        <f>IF(MasterARReport[[#This Row],[Outstanding Amount]]=0, "PAID", "PENDING")</f>
        <v>PENDING</v>
      </c>
    </row>
    <row r="41" spans="1:14" x14ac:dyDescent="0.3">
      <c r="A41" s="56">
        <v>40</v>
      </c>
      <c r="B41" s="56" t="s">
        <v>224</v>
      </c>
      <c r="C41" s="57">
        <v>46140</v>
      </c>
      <c r="D41" s="58" t="s">
        <v>278</v>
      </c>
      <c r="E41" s="58" t="s">
        <v>254</v>
      </c>
      <c r="F41" s="59">
        <v>348093</v>
      </c>
      <c r="G41" s="60">
        <v>46185</v>
      </c>
      <c r="H41" s="61">
        <v>0</v>
      </c>
      <c r="I41" s="61">
        <f t="shared" si="0"/>
        <v>348093</v>
      </c>
      <c r="J41" s="58">
        <f t="shared" ca="1" si="1"/>
        <v>0</v>
      </c>
      <c r="K41" s="58" t="str">
        <f t="shared" ca="1" si="2"/>
        <v>0-30 Days</v>
      </c>
      <c r="L41" s="58" t="str">
        <f t="shared" ca="1" si="3"/>
        <v>Low</v>
      </c>
      <c r="M41" s="58" t="s">
        <v>257</v>
      </c>
      <c r="N41" s="7" t="str">
        <f>IF(MasterARReport[[#This Row],[Outstanding Amount]]=0, "PAID", "PENDING")</f>
        <v>PENDING</v>
      </c>
    </row>
    <row r="42" spans="1:14" x14ac:dyDescent="0.3">
      <c r="A42" s="26">
        <v>41</v>
      </c>
      <c r="B42" s="26" t="s">
        <v>224</v>
      </c>
      <c r="C42" s="27">
        <v>46140</v>
      </c>
      <c r="D42" s="7" t="s">
        <v>279</v>
      </c>
      <c r="E42" s="7" t="s">
        <v>254</v>
      </c>
      <c r="F42" s="28">
        <v>90650</v>
      </c>
      <c r="G42" s="29">
        <v>46141</v>
      </c>
      <c r="H42" s="30">
        <v>0</v>
      </c>
      <c r="I42" s="30">
        <f t="shared" si="0"/>
        <v>90650</v>
      </c>
      <c r="J42" s="7">
        <f t="shared" ca="1" si="1"/>
        <v>32</v>
      </c>
      <c r="K42" s="7" t="str">
        <f t="shared" ca="1" si="2"/>
        <v>31-60 Days</v>
      </c>
      <c r="L42" s="7" t="str">
        <f t="shared" ca="1" si="3"/>
        <v>Low-Medium</v>
      </c>
      <c r="M42" s="7" t="s">
        <v>257</v>
      </c>
      <c r="N42" s="7" t="str">
        <f>IF(MasterARReport[[#This Row],[Outstanding Amount]]=0, "PAID", "PENDING")</f>
        <v>PENDING</v>
      </c>
    </row>
    <row r="43" spans="1:14" x14ac:dyDescent="0.3">
      <c r="A43" s="56">
        <v>42</v>
      </c>
      <c r="B43" s="56" t="s">
        <v>224</v>
      </c>
      <c r="C43" s="57">
        <v>46140</v>
      </c>
      <c r="D43" s="58" t="s">
        <v>280</v>
      </c>
      <c r="E43" s="58" t="s">
        <v>254</v>
      </c>
      <c r="F43" s="59">
        <v>292469</v>
      </c>
      <c r="G43" s="60">
        <v>46185</v>
      </c>
      <c r="H43" s="61">
        <v>0</v>
      </c>
      <c r="I43" s="61">
        <f t="shared" si="0"/>
        <v>292469</v>
      </c>
      <c r="J43" s="58">
        <f t="shared" ca="1" si="1"/>
        <v>0</v>
      </c>
      <c r="K43" s="58" t="str">
        <f t="shared" ca="1" si="2"/>
        <v>0-30 Days</v>
      </c>
      <c r="L43" s="58" t="str">
        <f t="shared" ca="1" si="3"/>
        <v>Low</v>
      </c>
      <c r="M43" s="58" t="s">
        <v>257</v>
      </c>
      <c r="N43" s="7" t="str">
        <f>IF(MasterARReport[[#This Row],[Outstanding Amount]]=0, "PAID", "PENDING")</f>
        <v>PENDING</v>
      </c>
    </row>
    <row r="44" spans="1:14" x14ac:dyDescent="0.3">
      <c r="A44" s="56">
        <v>43</v>
      </c>
      <c r="B44" s="56" t="s">
        <v>224</v>
      </c>
      <c r="C44" s="57">
        <v>46140</v>
      </c>
      <c r="D44" s="58" t="s">
        <v>281</v>
      </c>
      <c r="E44" s="58" t="s">
        <v>254</v>
      </c>
      <c r="F44" s="59">
        <v>132528</v>
      </c>
      <c r="G44" s="60">
        <v>46185</v>
      </c>
      <c r="H44" s="61">
        <v>0</v>
      </c>
      <c r="I44" s="61">
        <f t="shared" si="0"/>
        <v>132528</v>
      </c>
      <c r="J44" s="58">
        <f t="shared" ca="1" si="1"/>
        <v>0</v>
      </c>
      <c r="K44" s="58" t="str">
        <f t="shared" ca="1" si="2"/>
        <v>0-30 Days</v>
      </c>
      <c r="L44" s="58" t="str">
        <f t="shared" ca="1" si="3"/>
        <v>Low</v>
      </c>
      <c r="M44" s="58" t="s">
        <v>257</v>
      </c>
      <c r="N44" s="7" t="str">
        <f>IF(MasterARReport[[#This Row],[Outstanding Amount]]=0, "PAID", "PENDING")</f>
        <v>PENDING</v>
      </c>
    </row>
    <row r="45" spans="1:14" x14ac:dyDescent="0.3">
      <c r="A45" s="56">
        <v>44</v>
      </c>
      <c r="B45" s="56" t="s">
        <v>224</v>
      </c>
      <c r="C45" s="57">
        <v>46140</v>
      </c>
      <c r="D45" s="58" t="s">
        <v>282</v>
      </c>
      <c r="E45" s="58" t="s">
        <v>254</v>
      </c>
      <c r="F45" s="59">
        <v>240230</v>
      </c>
      <c r="G45" s="60">
        <v>46185</v>
      </c>
      <c r="H45" s="61">
        <v>0</v>
      </c>
      <c r="I45" s="61">
        <f t="shared" si="0"/>
        <v>240230</v>
      </c>
      <c r="J45" s="58">
        <f t="shared" ca="1" si="1"/>
        <v>0</v>
      </c>
      <c r="K45" s="58" t="str">
        <f t="shared" ca="1" si="2"/>
        <v>0-30 Days</v>
      </c>
      <c r="L45" s="58" t="str">
        <f t="shared" ca="1" si="3"/>
        <v>Low</v>
      </c>
      <c r="M45" s="58" t="s">
        <v>257</v>
      </c>
      <c r="N45" s="7" t="str">
        <f>IF(MasterARReport[[#This Row],[Outstanding Amount]]=0, "PAID", "PENDING")</f>
        <v>PENDING</v>
      </c>
    </row>
    <row r="46" spans="1:14" x14ac:dyDescent="0.3">
      <c r="A46" s="56">
        <v>45</v>
      </c>
      <c r="B46" s="56" t="s">
        <v>224</v>
      </c>
      <c r="C46" s="57">
        <v>46140</v>
      </c>
      <c r="D46" s="58" t="s">
        <v>283</v>
      </c>
      <c r="E46" s="58" t="s">
        <v>254</v>
      </c>
      <c r="F46" s="59">
        <v>204171</v>
      </c>
      <c r="G46" s="60">
        <v>46185</v>
      </c>
      <c r="H46" s="61">
        <v>0</v>
      </c>
      <c r="I46" s="61">
        <f t="shared" si="0"/>
        <v>204171</v>
      </c>
      <c r="J46" s="58">
        <f t="shared" ca="1" si="1"/>
        <v>0</v>
      </c>
      <c r="K46" s="58" t="str">
        <f t="shared" ca="1" si="2"/>
        <v>0-30 Days</v>
      </c>
      <c r="L46" s="58" t="str">
        <f t="shared" ca="1" si="3"/>
        <v>Low</v>
      </c>
      <c r="M46" s="58" t="s">
        <v>257</v>
      </c>
      <c r="N46" s="7" t="str">
        <f>IF(MasterARReport[[#This Row],[Outstanding Amount]]=0, "PAID", "PENDING")</f>
        <v>PENDING</v>
      </c>
    </row>
    <row r="47" spans="1:14" x14ac:dyDescent="0.3">
      <c r="A47" s="37">
        <v>46</v>
      </c>
      <c r="B47" s="37" t="s">
        <v>224</v>
      </c>
      <c r="C47" s="38">
        <v>46141</v>
      </c>
      <c r="D47" s="39" t="s">
        <v>284</v>
      </c>
      <c r="E47" s="39" t="s">
        <v>254</v>
      </c>
      <c r="F47" s="40">
        <v>65314</v>
      </c>
      <c r="G47" s="41">
        <v>46142</v>
      </c>
      <c r="H47" s="42">
        <v>0</v>
      </c>
      <c r="I47" s="42">
        <f t="shared" si="0"/>
        <v>65314</v>
      </c>
      <c r="J47" s="39">
        <f t="shared" ca="1" si="1"/>
        <v>31</v>
      </c>
      <c r="K47" s="39" t="str">
        <f t="shared" ca="1" si="2"/>
        <v>31-60 Days</v>
      </c>
      <c r="L47" s="39" t="str">
        <f t="shared" ca="1" si="3"/>
        <v>Low-Medium</v>
      </c>
      <c r="M47" s="39" t="s">
        <v>257</v>
      </c>
      <c r="N47" s="7" t="str">
        <f>IF(MasterARReport[[#This Row],[Outstanding Amount]]=0, "PAID", "PENDING")</f>
        <v>PENDING</v>
      </c>
    </row>
    <row r="48" spans="1:14" x14ac:dyDescent="0.3">
      <c r="A48" s="26">
        <v>47</v>
      </c>
      <c r="B48" s="26" t="s">
        <v>224</v>
      </c>
      <c r="C48" s="27">
        <v>46141</v>
      </c>
      <c r="D48" s="7" t="s">
        <v>285</v>
      </c>
      <c r="E48" s="7" t="s">
        <v>254</v>
      </c>
      <c r="F48" s="28">
        <v>107008</v>
      </c>
      <c r="G48" s="29">
        <v>46142</v>
      </c>
      <c r="H48" s="30">
        <v>0</v>
      </c>
      <c r="I48" s="30">
        <f t="shared" si="0"/>
        <v>107008</v>
      </c>
      <c r="J48" s="7">
        <f t="shared" ca="1" si="1"/>
        <v>31</v>
      </c>
      <c r="K48" s="7" t="str">
        <f t="shared" ca="1" si="2"/>
        <v>31-60 Days</v>
      </c>
      <c r="L48" s="7" t="str">
        <f t="shared" ca="1" si="3"/>
        <v>Low-Medium</v>
      </c>
      <c r="M48" s="7" t="s">
        <v>257</v>
      </c>
      <c r="N48" s="7" t="str">
        <f>IF(MasterARReport[[#This Row],[Outstanding Amount]]=0, "PAID", "PENDING")</f>
        <v>PENDING</v>
      </c>
    </row>
    <row r="49" spans="1:14" x14ac:dyDescent="0.3">
      <c r="A49" s="56">
        <v>48</v>
      </c>
      <c r="B49" s="56" t="s">
        <v>224</v>
      </c>
      <c r="C49" s="57">
        <v>46142</v>
      </c>
      <c r="D49" s="58" t="s">
        <v>286</v>
      </c>
      <c r="E49" s="58" t="s">
        <v>254</v>
      </c>
      <c r="F49" s="59">
        <v>105959</v>
      </c>
      <c r="G49" s="60">
        <v>46187</v>
      </c>
      <c r="H49" s="61">
        <v>0</v>
      </c>
      <c r="I49" s="61">
        <f t="shared" si="0"/>
        <v>105959</v>
      </c>
      <c r="J49" s="58">
        <f t="shared" ca="1" si="1"/>
        <v>0</v>
      </c>
      <c r="K49" s="58" t="str">
        <f t="shared" ca="1" si="2"/>
        <v>0-30 Days</v>
      </c>
      <c r="L49" s="58" t="str">
        <f t="shared" ca="1" si="3"/>
        <v>Low</v>
      </c>
      <c r="M49" s="58" t="s">
        <v>257</v>
      </c>
      <c r="N49" s="7" t="str">
        <f>IF(MasterARReport[[#This Row],[Outstanding Amount]]=0, "PAID", "PENDING")</f>
        <v>PENDING</v>
      </c>
    </row>
    <row r="50" spans="1:14" x14ac:dyDescent="0.3">
      <c r="A50" s="56">
        <v>49</v>
      </c>
      <c r="B50" s="56" t="s">
        <v>224</v>
      </c>
      <c r="C50" s="57">
        <v>46144</v>
      </c>
      <c r="D50" s="58" t="s">
        <v>287</v>
      </c>
      <c r="E50" s="58" t="s">
        <v>254</v>
      </c>
      <c r="F50" s="59">
        <v>84325</v>
      </c>
      <c r="G50" s="60">
        <v>46189</v>
      </c>
      <c r="H50" s="61">
        <v>0</v>
      </c>
      <c r="I50" s="61">
        <f t="shared" si="0"/>
        <v>84325</v>
      </c>
      <c r="J50" s="58">
        <f t="shared" ca="1" si="1"/>
        <v>0</v>
      </c>
      <c r="K50" s="58" t="str">
        <f t="shared" ca="1" si="2"/>
        <v>0-30 Days</v>
      </c>
      <c r="L50" s="58" t="str">
        <f t="shared" ca="1" si="3"/>
        <v>Low</v>
      </c>
      <c r="M50" s="58" t="s">
        <v>257</v>
      </c>
      <c r="N50" s="7" t="str">
        <f>IF(MasterARReport[[#This Row],[Outstanding Amount]]=0, "PAID", "PENDING")</f>
        <v>PENDING</v>
      </c>
    </row>
    <row r="51" spans="1:14" x14ac:dyDescent="0.3">
      <c r="A51" s="56">
        <v>50</v>
      </c>
      <c r="B51" s="56" t="s">
        <v>224</v>
      </c>
      <c r="C51" s="57">
        <v>46148</v>
      </c>
      <c r="D51" s="58" t="s">
        <v>288</v>
      </c>
      <c r="E51" s="58" t="s">
        <v>254</v>
      </c>
      <c r="F51" s="59">
        <v>9635</v>
      </c>
      <c r="G51" s="60">
        <v>46193</v>
      </c>
      <c r="H51" s="61">
        <v>0</v>
      </c>
      <c r="I51" s="61">
        <f t="shared" si="0"/>
        <v>9635</v>
      </c>
      <c r="J51" s="58">
        <f t="shared" ca="1" si="1"/>
        <v>0</v>
      </c>
      <c r="K51" s="58" t="str">
        <f t="shared" ca="1" si="2"/>
        <v>0-30 Days</v>
      </c>
      <c r="L51" s="58" t="str">
        <f t="shared" ca="1" si="3"/>
        <v>Low</v>
      </c>
      <c r="M51" s="58" t="s">
        <v>257</v>
      </c>
      <c r="N51" s="7" t="str">
        <f>IF(MasterARReport[[#This Row],[Outstanding Amount]]=0, "PAID", "PENDING")</f>
        <v>PENDING</v>
      </c>
    </row>
    <row r="52" spans="1:14" x14ac:dyDescent="0.3">
      <c r="A52" s="8">
        <v>51</v>
      </c>
      <c r="B52" s="8" t="s">
        <v>224</v>
      </c>
      <c r="C52" s="9">
        <v>45682</v>
      </c>
      <c r="D52" s="10" t="s">
        <v>289</v>
      </c>
      <c r="E52" s="10" t="s">
        <v>290</v>
      </c>
      <c r="F52" s="11">
        <v>271</v>
      </c>
      <c r="G52" s="12">
        <v>45682</v>
      </c>
      <c r="H52" s="13">
        <v>0</v>
      </c>
      <c r="I52" s="13">
        <f t="shared" si="0"/>
        <v>271</v>
      </c>
      <c r="J52" s="10">
        <f t="shared" ca="1" si="1"/>
        <v>491</v>
      </c>
      <c r="K52" s="10" t="str">
        <f t="shared" ca="1" si="2"/>
        <v>90+ Days</v>
      </c>
      <c r="L52" s="10" t="str">
        <f t="shared" ca="1" si="3"/>
        <v>HIGH RISK</v>
      </c>
      <c r="M52" s="10" t="s">
        <v>291</v>
      </c>
      <c r="N52" s="7" t="str">
        <f>IF(MasterARReport[[#This Row],[Outstanding Amount]]=0, "PAID", "PENDING")</f>
        <v>PENDING</v>
      </c>
    </row>
    <row r="53" spans="1:14" x14ac:dyDescent="0.3">
      <c r="A53" s="31">
        <v>52</v>
      </c>
      <c r="B53" s="31" t="s">
        <v>224</v>
      </c>
      <c r="C53" s="32">
        <v>45951</v>
      </c>
      <c r="D53" s="33" t="s">
        <v>292</v>
      </c>
      <c r="E53" s="33" t="s">
        <v>290</v>
      </c>
      <c r="F53" s="34">
        <v>272</v>
      </c>
      <c r="G53" s="35">
        <v>45952</v>
      </c>
      <c r="H53" s="36">
        <v>0</v>
      </c>
      <c r="I53" s="36">
        <f t="shared" si="0"/>
        <v>272</v>
      </c>
      <c r="J53" s="33">
        <f t="shared" ca="1" si="1"/>
        <v>221</v>
      </c>
      <c r="K53" s="33" t="str">
        <f t="shared" ca="1" si="2"/>
        <v>90+ Days</v>
      </c>
      <c r="L53" s="33" t="str">
        <f t="shared" ca="1" si="3"/>
        <v>HIGH RISK</v>
      </c>
      <c r="M53" s="33" t="s">
        <v>291</v>
      </c>
      <c r="N53" s="7" t="str">
        <f>IF(MasterARReport[[#This Row],[Outstanding Amount]]=0, "PAID", "PENDING")</f>
        <v>PENDING</v>
      </c>
    </row>
    <row r="54" spans="1:14" x14ac:dyDescent="0.3">
      <c r="A54" s="26">
        <v>53</v>
      </c>
      <c r="B54" s="26" t="s">
        <v>224</v>
      </c>
      <c r="C54" s="27">
        <v>46142</v>
      </c>
      <c r="D54" s="7" t="s">
        <v>293</v>
      </c>
      <c r="E54" s="7" t="s">
        <v>294</v>
      </c>
      <c r="F54" s="28">
        <v>149682</v>
      </c>
      <c r="G54" s="29">
        <v>46143</v>
      </c>
      <c r="H54" s="30">
        <v>149682</v>
      </c>
      <c r="I54" s="30">
        <f t="shared" si="0"/>
        <v>0</v>
      </c>
      <c r="J54" s="7">
        <f t="shared" ca="1" si="1"/>
        <v>30</v>
      </c>
      <c r="K54" s="7" t="str">
        <f t="shared" si="2"/>
        <v>Current</v>
      </c>
      <c r="L54" s="7" t="str">
        <f t="shared" si="3"/>
        <v>-</v>
      </c>
      <c r="M54" s="7" t="s">
        <v>22</v>
      </c>
      <c r="N54" s="7" t="str">
        <f>IF(MasterARReport[[#This Row],[Outstanding Amount]]=0, "PAID", "PENDING")</f>
        <v>PAID</v>
      </c>
    </row>
    <row r="55" spans="1:14" x14ac:dyDescent="0.3">
      <c r="A55" s="14">
        <v>54</v>
      </c>
      <c r="B55" s="14" t="s">
        <v>224</v>
      </c>
      <c r="C55" s="15">
        <v>46102</v>
      </c>
      <c r="D55" s="16" t="s">
        <v>295</v>
      </c>
      <c r="E55" s="16" t="s">
        <v>296</v>
      </c>
      <c r="F55" s="17">
        <v>12806</v>
      </c>
      <c r="G55" s="18">
        <v>46102</v>
      </c>
      <c r="H55" s="19">
        <v>0</v>
      </c>
      <c r="I55" s="19">
        <f t="shared" si="0"/>
        <v>12806</v>
      </c>
      <c r="J55" s="16">
        <f t="shared" ca="1" si="1"/>
        <v>71</v>
      </c>
      <c r="K55" s="16" t="str">
        <f t="shared" ca="1" si="2"/>
        <v>61-90 Days</v>
      </c>
      <c r="L55" s="16" t="str">
        <f t="shared" ca="1" si="3"/>
        <v>Medium</v>
      </c>
      <c r="M55" s="16"/>
      <c r="N55" s="7" t="str">
        <f>IF(MasterARReport[[#This Row],[Outstanding Amount]]=0, "PAID", "PENDING")</f>
        <v>PENDING</v>
      </c>
    </row>
    <row r="56" spans="1:14" x14ac:dyDescent="0.3">
      <c r="A56" s="26">
        <v>55</v>
      </c>
      <c r="B56" s="26" t="s">
        <v>224</v>
      </c>
      <c r="C56" s="27">
        <v>46137</v>
      </c>
      <c r="D56" s="7" t="s">
        <v>297</v>
      </c>
      <c r="E56" s="7" t="s">
        <v>298</v>
      </c>
      <c r="F56" s="28">
        <v>111599</v>
      </c>
      <c r="G56" s="29">
        <v>46138</v>
      </c>
      <c r="H56" s="30">
        <v>0</v>
      </c>
      <c r="I56" s="30">
        <f t="shared" si="0"/>
        <v>111599</v>
      </c>
      <c r="J56" s="7">
        <f t="shared" ca="1" si="1"/>
        <v>35</v>
      </c>
      <c r="K56" s="7" t="str">
        <f t="shared" ca="1" si="2"/>
        <v>31-60 Days</v>
      </c>
      <c r="L56" s="7" t="str">
        <f t="shared" ca="1" si="3"/>
        <v>Low-Medium</v>
      </c>
      <c r="M56" s="7"/>
      <c r="N56" s="7" t="str">
        <f>IF(MasterARReport[[#This Row],[Outstanding Amount]]=0, "PAID", "PENDING")</f>
        <v>PENDING</v>
      </c>
    </row>
    <row r="57" spans="1:14" x14ac:dyDescent="0.3">
      <c r="A57" s="56">
        <v>56</v>
      </c>
      <c r="B57" s="56" t="s">
        <v>224</v>
      </c>
      <c r="C57" s="57">
        <v>46144</v>
      </c>
      <c r="D57" s="58" t="s">
        <v>299</v>
      </c>
      <c r="E57" s="58" t="s">
        <v>298</v>
      </c>
      <c r="F57" s="59">
        <v>20227</v>
      </c>
      <c r="G57" s="60">
        <v>46169</v>
      </c>
      <c r="H57" s="61">
        <v>0</v>
      </c>
      <c r="I57" s="61">
        <f t="shared" si="0"/>
        <v>20227</v>
      </c>
      <c r="J57" s="58">
        <f t="shared" ca="1" si="1"/>
        <v>4</v>
      </c>
      <c r="K57" s="58" t="str">
        <f t="shared" ca="1" si="2"/>
        <v>0-30 Days</v>
      </c>
      <c r="L57" s="58" t="str">
        <f t="shared" ca="1" si="3"/>
        <v>Low</v>
      </c>
      <c r="M57" s="58"/>
      <c r="N57" s="7" t="str">
        <f>IF(MasterARReport[[#This Row],[Outstanding Amount]]=0, "PAID", "PENDING")</f>
        <v>PENDING</v>
      </c>
    </row>
    <row r="58" spans="1:14" x14ac:dyDescent="0.3">
      <c r="A58" s="20">
        <v>57</v>
      </c>
      <c r="B58" s="20" t="s">
        <v>224</v>
      </c>
      <c r="C58" s="21">
        <v>46137</v>
      </c>
      <c r="D58" s="22" t="s">
        <v>300</v>
      </c>
      <c r="E58" s="22" t="s">
        <v>301</v>
      </c>
      <c r="F58" s="23">
        <v>70357</v>
      </c>
      <c r="G58" s="24">
        <v>46137</v>
      </c>
      <c r="H58" s="25">
        <f>[1]PAYMENTS!C13</f>
        <v>70357</v>
      </c>
      <c r="I58" s="25">
        <f t="shared" si="0"/>
        <v>0</v>
      </c>
      <c r="J58" s="22">
        <f t="shared" ca="1" si="1"/>
        <v>36</v>
      </c>
      <c r="K58" s="22" t="str">
        <f t="shared" si="2"/>
        <v>Current</v>
      </c>
      <c r="L58" s="22" t="str">
        <f t="shared" si="3"/>
        <v>-</v>
      </c>
      <c r="M58" s="22" t="str">
        <f>[1]PAYMENTS!D13</f>
        <v>Paid by Cheque</v>
      </c>
      <c r="N58" s="7" t="str">
        <f>IF(MasterARReport[[#This Row],[Outstanding Amount]]=0, "PAID", "PENDING")</f>
        <v>PAID</v>
      </c>
    </row>
    <row r="59" spans="1:14" x14ac:dyDescent="0.3">
      <c r="A59" s="37">
        <v>58</v>
      </c>
      <c r="B59" s="37" t="s">
        <v>224</v>
      </c>
      <c r="C59" s="38" t="s">
        <v>162</v>
      </c>
      <c r="D59" s="39" t="s">
        <v>302</v>
      </c>
      <c r="E59" s="39" t="s">
        <v>164</v>
      </c>
      <c r="F59" s="40">
        <v>35496</v>
      </c>
      <c r="G59" s="41" t="s">
        <v>303</v>
      </c>
      <c r="H59" s="42">
        <v>0</v>
      </c>
      <c r="I59" s="42">
        <f t="shared" si="0"/>
        <v>35496</v>
      </c>
      <c r="J59" s="39">
        <f t="shared" ca="1" si="1"/>
        <v>11</v>
      </c>
      <c r="K59" s="39" t="str">
        <f t="shared" ca="1" si="2"/>
        <v>0-30 Days</v>
      </c>
      <c r="L59" s="39" t="str">
        <f t="shared" ca="1" si="3"/>
        <v>Low</v>
      </c>
      <c r="M59" s="39"/>
      <c r="N59" s="7" t="str">
        <f>IF(MasterARReport[[#This Row],[Outstanding Amount]]=0, "PAID", "PENDING")</f>
        <v>PENDING</v>
      </c>
    </row>
    <row r="60" spans="1:14" x14ac:dyDescent="0.3">
      <c r="A60" s="26">
        <v>59</v>
      </c>
      <c r="B60" s="26" t="s">
        <v>224</v>
      </c>
      <c r="C60" s="27" t="s">
        <v>304</v>
      </c>
      <c r="D60" s="7" t="s">
        <v>305</v>
      </c>
      <c r="E60" s="7" t="s">
        <v>306</v>
      </c>
      <c r="F60" s="28">
        <v>61596</v>
      </c>
      <c r="G60" s="29" t="s">
        <v>307</v>
      </c>
      <c r="H60" s="30">
        <v>0</v>
      </c>
      <c r="I60" s="30">
        <f t="shared" si="0"/>
        <v>61596</v>
      </c>
      <c r="J60" s="7">
        <f t="shared" ca="1" si="1"/>
        <v>120</v>
      </c>
      <c r="K60" s="7" t="str">
        <f t="shared" ca="1" si="2"/>
        <v>90+ Days</v>
      </c>
      <c r="L60" s="7" t="str">
        <f t="shared" ca="1" si="3"/>
        <v>HIGH RISK</v>
      </c>
      <c r="M60" s="7"/>
      <c r="N60" s="7" t="str">
        <f>IF(MasterARReport[[#This Row],[Outstanding Amount]]=0, "PAID", "PENDING")</f>
        <v>PENDING</v>
      </c>
    </row>
    <row r="61" spans="1:14" x14ac:dyDescent="0.3">
      <c r="A61" s="37">
        <v>60</v>
      </c>
      <c r="B61" s="37" t="s">
        <v>224</v>
      </c>
      <c r="C61" s="38" t="s">
        <v>308</v>
      </c>
      <c r="D61" s="39" t="s">
        <v>309</v>
      </c>
      <c r="E61" s="39" t="s">
        <v>306</v>
      </c>
      <c r="F61" s="40">
        <v>5996</v>
      </c>
      <c r="G61" s="41" t="s">
        <v>310</v>
      </c>
      <c r="H61" s="42">
        <v>0</v>
      </c>
      <c r="I61" s="42">
        <f t="shared" si="0"/>
        <v>5996</v>
      </c>
      <c r="J61" s="39">
        <f t="shared" ca="1" si="1"/>
        <v>114</v>
      </c>
      <c r="K61" s="39" t="str">
        <f t="shared" ca="1" si="2"/>
        <v>90+ Days</v>
      </c>
      <c r="L61" s="39" t="str">
        <f t="shared" ca="1" si="3"/>
        <v>HIGH RISK</v>
      </c>
      <c r="M61" s="39"/>
      <c r="N61" s="7" t="str">
        <f>IF(MasterARReport[[#This Row],[Outstanding Amount]]=0, "PAID", "PENDING")</f>
        <v>PENDING</v>
      </c>
    </row>
    <row r="62" spans="1:14" x14ac:dyDescent="0.3">
      <c r="A62" s="26">
        <v>61</v>
      </c>
      <c r="B62" s="26" t="s">
        <v>224</v>
      </c>
      <c r="C62" s="27" t="s">
        <v>311</v>
      </c>
      <c r="D62" s="7" t="s">
        <v>312</v>
      </c>
      <c r="E62" s="7" t="s">
        <v>306</v>
      </c>
      <c r="F62" s="28">
        <v>4496</v>
      </c>
      <c r="G62" s="29" t="s">
        <v>313</v>
      </c>
      <c r="H62" s="30">
        <v>0</v>
      </c>
      <c r="I62" s="30">
        <f t="shared" si="0"/>
        <v>4496</v>
      </c>
      <c r="J62" s="7">
        <f t="shared" ca="1" si="1"/>
        <v>28</v>
      </c>
      <c r="K62" s="7" t="str">
        <f t="shared" ca="1" si="2"/>
        <v>0-30 Days</v>
      </c>
      <c r="L62" s="7" t="str">
        <f t="shared" ca="1" si="3"/>
        <v>Low</v>
      </c>
      <c r="M62" s="7"/>
      <c r="N62" s="7" t="str">
        <f>IF(MasterARReport[[#This Row],[Outstanding Amount]]=0, "PAID", "PENDING")</f>
        <v>PENDING</v>
      </c>
    </row>
    <row r="63" spans="1:14" x14ac:dyDescent="0.3">
      <c r="A63" s="37">
        <v>62</v>
      </c>
      <c r="B63" s="37" t="s">
        <v>224</v>
      </c>
      <c r="C63" s="38" t="s">
        <v>311</v>
      </c>
      <c r="D63" s="39" t="s">
        <v>314</v>
      </c>
      <c r="E63" s="39" t="s">
        <v>306</v>
      </c>
      <c r="F63" s="40">
        <v>3371</v>
      </c>
      <c r="G63" s="41" t="s">
        <v>313</v>
      </c>
      <c r="H63" s="42">
        <f>[1]PAYMENTS!C36</f>
        <v>3371</v>
      </c>
      <c r="I63" s="42">
        <f t="shared" si="0"/>
        <v>0</v>
      </c>
      <c r="J63" s="39">
        <f t="shared" ca="1" si="1"/>
        <v>28</v>
      </c>
      <c r="K63" s="39" t="str">
        <f t="shared" si="2"/>
        <v>Current</v>
      </c>
      <c r="L63" s="39" t="str">
        <f t="shared" si="3"/>
        <v>-</v>
      </c>
      <c r="M63" s="39" t="str">
        <f>[1]PAYMENTS!D36</f>
        <v xml:space="preserve">Paid Online </v>
      </c>
      <c r="N63" s="7" t="str">
        <f>IF(MasterARReport[[#This Row],[Outstanding Amount]]=0, "PAID", "PENDING")</f>
        <v>PAID</v>
      </c>
    </row>
    <row r="64" spans="1:14" x14ac:dyDescent="0.3">
      <c r="A64" s="26">
        <v>63</v>
      </c>
      <c r="B64" s="26" t="s">
        <v>224</v>
      </c>
      <c r="C64" s="27" t="s">
        <v>315</v>
      </c>
      <c r="D64" s="7" t="s">
        <v>316</v>
      </c>
      <c r="E64" s="7" t="s">
        <v>306</v>
      </c>
      <c r="F64" s="28">
        <v>2922</v>
      </c>
      <c r="G64" s="29" t="s">
        <v>317</v>
      </c>
      <c r="H64" s="30">
        <v>0</v>
      </c>
      <c r="I64" s="30">
        <f t="shared" si="0"/>
        <v>2922</v>
      </c>
      <c r="J64" s="7">
        <f t="shared" ca="1" si="1"/>
        <v>19</v>
      </c>
      <c r="K64" s="7" t="str">
        <f t="shared" ca="1" si="2"/>
        <v>0-30 Days</v>
      </c>
      <c r="L64" s="7" t="str">
        <f t="shared" ca="1" si="3"/>
        <v>Low</v>
      </c>
      <c r="M64" s="7"/>
      <c r="N64" s="7" t="str">
        <f>IF(MasterARReport[[#This Row],[Outstanding Amount]]=0, "PAID", "PENDING")</f>
        <v>PENDING</v>
      </c>
    </row>
    <row r="65" spans="1:14" x14ac:dyDescent="0.3">
      <c r="A65" s="37">
        <v>64</v>
      </c>
      <c r="B65" s="37" t="s">
        <v>224</v>
      </c>
      <c r="C65" s="38" t="s">
        <v>318</v>
      </c>
      <c r="D65" s="39" t="s">
        <v>319</v>
      </c>
      <c r="E65" s="39" t="s">
        <v>306</v>
      </c>
      <c r="F65" s="40">
        <v>7356</v>
      </c>
      <c r="G65" s="41" t="s">
        <v>320</v>
      </c>
      <c r="H65" s="42">
        <f>[1]PAYMENTS!C44</f>
        <v>7356</v>
      </c>
      <c r="I65" s="42">
        <f t="shared" si="0"/>
        <v>0</v>
      </c>
      <c r="J65" s="39">
        <f t="shared" ca="1" si="1"/>
        <v>15</v>
      </c>
      <c r="K65" s="39" t="str">
        <f t="shared" si="2"/>
        <v>Current</v>
      </c>
      <c r="L65" s="39" t="str">
        <f t="shared" si="3"/>
        <v>-</v>
      </c>
      <c r="M65" s="39" t="str">
        <f>[1]PAYMENTS!D44</f>
        <v xml:space="preserve">Paid Online </v>
      </c>
      <c r="N65" s="7" t="str">
        <f>IF(MasterARReport[[#This Row],[Outstanding Amount]]=0, "PAID", "PENDING")</f>
        <v>PAID</v>
      </c>
    </row>
    <row r="66" spans="1:14" x14ac:dyDescent="0.3">
      <c r="A66" s="26">
        <v>65</v>
      </c>
      <c r="B66" s="26" t="s">
        <v>224</v>
      </c>
      <c r="C66" s="27" t="s">
        <v>321</v>
      </c>
      <c r="D66" s="7" t="s">
        <v>322</v>
      </c>
      <c r="E66" s="7" t="s">
        <v>323</v>
      </c>
      <c r="F66" s="28">
        <v>121816</v>
      </c>
      <c r="G66" s="29" t="s">
        <v>324</v>
      </c>
      <c r="H66" s="30">
        <v>0</v>
      </c>
      <c r="I66" s="30">
        <f t="shared" ref="I66:I129" si="4">MAX(0,F66-H66)</f>
        <v>121816</v>
      </c>
      <c r="J66" s="7">
        <f t="shared" ref="J66:J129" ca="1" si="5">IF(G66="",0,MAX(0,TODAY()-G66))</f>
        <v>1</v>
      </c>
      <c r="K66" s="7" t="str">
        <f t="shared" ref="K66:K129" ca="1" si="6">IF(I66&lt;=0,"Current",IF(J66&lt;=30,"0-30 Days",IF(J66&lt;=60,"31-60 Days",IF(J66&lt;=90,"61-90 Days","90+ Days"))))</f>
        <v>0-30 Days</v>
      </c>
      <c r="L66" s="7" t="str">
        <f t="shared" ref="L66:L129" ca="1" si="7">IF(I66&lt;=0,"-",IF(J66&lt;=30,"Low",IF(J66&lt;=60,"Low-Medium",IF(J66&lt;=90,"Medium","HIGH RISK"))))</f>
        <v>Low</v>
      </c>
      <c r="M66" s="7"/>
      <c r="N66" s="7" t="str">
        <f>IF(MasterARReport[[#This Row],[Outstanding Amount]]=0, "PAID", "PENDING")</f>
        <v>PENDING</v>
      </c>
    </row>
    <row r="67" spans="1:14" x14ac:dyDescent="0.3">
      <c r="A67" s="37">
        <v>66</v>
      </c>
      <c r="B67" s="37" t="s">
        <v>224</v>
      </c>
      <c r="C67" s="38" t="s">
        <v>325</v>
      </c>
      <c r="D67" s="39" t="s">
        <v>326</v>
      </c>
      <c r="E67" s="39" t="s">
        <v>327</v>
      </c>
      <c r="F67" s="40">
        <v>98345</v>
      </c>
      <c r="G67" s="41" t="s">
        <v>328</v>
      </c>
      <c r="H67" s="42">
        <v>0</v>
      </c>
      <c r="I67" s="42">
        <f t="shared" si="4"/>
        <v>98345</v>
      </c>
      <c r="J67" s="39">
        <f t="shared" ca="1" si="5"/>
        <v>4</v>
      </c>
      <c r="K67" s="39" t="str">
        <f t="shared" ca="1" si="6"/>
        <v>0-30 Days</v>
      </c>
      <c r="L67" s="39" t="str">
        <f t="shared" ca="1" si="7"/>
        <v>Low</v>
      </c>
      <c r="M67" s="39"/>
      <c r="N67" s="7" t="str">
        <f>IF(MasterARReport[[#This Row],[Outstanding Amount]]=0, "PAID", "PENDING")</f>
        <v>PENDING</v>
      </c>
    </row>
    <row r="68" spans="1:14" x14ac:dyDescent="0.3">
      <c r="A68" s="26">
        <v>67</v>
      </c>
      <c r="B68" s="26" t="s">
        <v>224</v>
      </c>
      <c r="C68" s="27" t="s">
        <v>321</v>
      </c>
      <c r="D68" s="7" t="s">
        <v>329</v>
      </c>
      <c r="E68" s="7" t="s">
        <v>327</v>
      </c>
      <c r="F68" s="28">
        <v>338046</v>
      </c>
      <c r="G68" s="29" t="s">
        <v>324</v>
      </c>
      <c r="H68" s="30">
        <v>0</v>
      </c>
      <c r="I68" s="30">
        <f t="shared" si="4"/>
        <v>338046</v>
      </c>
      <c r="J68" s="7">
        <f t="shared" ca="1" si="5"/>
        <v>1</v>
      </c>
      <c r="K68" s="7" t="str">
        <f t="shared" ca="1" si="6"/>
        <v>0-30 Days</v>
      </c>
      <c r="L68" s="7" t="str">
        <f t="shared" ca="1" si="7"/>
        <v>Low</v>
      </c>
      <c r="M68" s="7"/>
      <c r="N68" s="7" t="str">
        <f>IF(MasterARReport[[#This Row],[Outstanding Amount]]=0, "PAID", "PENDING")</f>
        <v>PENDING</v>
      </c>
    </row>
    <row r="69" spans="1:14" x14ac:dyDescent="0.3">
      <c r="A69" s="37">
        <v>68</v>
      </c>
      <c r="B69" s="37" t="s">
        <v>224</v>
      </c>
      <c r="C69" s="38" t="s">
        <v>311</v>
      </c>
      <c r="D69" s="39" t="s">
        <v>330</v>
      </c>
      <c r="E69" s="39" t="s">
        <v>327</v>
      </c>
      <c r="F69" s="40">
        <v>22340</v>
      </c>
      <c r="G69" s="41" t="s">
        <v>331</v>
      </c>
      <c r="H69" s="42">
        <v>0</v>
      </c>
      <c r="I69" s="42">
        <f t="shared" si="4"/>
        <v>22340</v>
      </c>
      <c r="J69" s="39">
        <f t="shared" ca="1" si="5"/>
        <v>0</v>
      </c>
      <c r="K69" s="39" t="str">
        <f t="shared" ca="1" si="6"/>
        <v>0-30 Days</v>
      </c>
      <c r="L69" s="39" t="str">
        <f t="shared" ca="1" si="7"/>
        <v>Low</v>
      </c>
      <c r="M69" s="39"/>
      <c r="N69" s="7" t="str">
        <f>IF(MasterARReport[[#This Row],[Outstanding Amount]]=0, "PAID", "PENDING")</f>
        <v>PENDING</v>
      </c>
    </row>
    <row r="70" spans="1:14" x14ac:dyDescent="0.3">
      <c r="A70" s="26">
        <v>69</v>
      </c>
      <c r="B70" s="26" t="s">
        <v>224</v>
      </c>
      <c r="C70" s="27" t="s">
        <v>332</v>
      </c>
      <c r="D70" s="7" t="s">
        <v>333</v>
      </c>
      <c r="E70" s="7" t="s">
        <v>334</v>
      </c>
      <c r="F70" s="28">
        <v>280312</v>
      </c>
      <c r="G70" s="29" t="s">
        <v>169</v>
      </c>
      <c r="H70" s="30">
        <v>0</v>
      </c>
      <c r="I70" s="30">
        <f t="shared" si="4"/>
        <v>280312</v>
      </c>
      <c r="J70" s="7">
        <f t="shared" ca="1" si="5"/>
        <v>7</v>
      </c>
      <c r="K70" s="7" t="str">
        <f t="shared" ca="1" si="6"/>
        <v>0-30 Days</v>
      </c>
      <c r="L70" s="7" t="str">
        <f t="shared" ca="1" si="7"/>
        <v>Low</v>
      </c>
      <c r="M70" s="7"/>
      <c r="N70" s="7" t="str">
        <f>IF(MasterARReport[[#This Row],[Outstanding Amount]]=0, "PAID", "PENDING")</f>
        <v>PENDING</v>
      </c>
    </row>
    <row r="71" spans="1:14" x14ac:dyDescent="0.3">
      <c r="A71" s="37">
        <v>70</v>
      </c>
      <c r="B71" s="37" t="s">
        <v>224</v>
      </c>
      <c r="C71" s="38" t="s">
        <v>311</v>
      </c>
      <c r="D71" s="39" t="s">
        <v>335</v>
      </c>
      <c r="E71" s="39" t="s">
        <v>334</v>
      </c>
      <c r="F71" s="40">
        <v>19688</v>
      </c>
      <c r="G71" s="41" t="s">
        <v>331</v>
      </c>
      <c r="H71" s="42">
        <v>0</v>
      </c>
      <c r="I71" s="42">
        <f t="shared" si="4"/>
        <v>19688</v>
      </c>
      <c r="J71" s="39">
        <f t="shared" ca="1" si="5"/>
        <v>0</v>
      </c>
      <c r="K71" s="39" t="str">
        <f t="shared" ca="1" si="6"/>
        <v>0-30 Days</v>
      </c>
      <c r="L71" s="39" t="str">
        <f t="shared" ca="1" si="7"/>
        <v>Low</v>
      </c>
      <c r="M71" s="39"/>
      <c r="N71" s="7" t="str">
        <f>IF(MasterARReport[[#This Row],[Outstanding Amount]]=0, "PAID", "PENDING")</f>
        <v>PENDING</v>
      </c>
    </row>
    <row r="72" spans="1:14" x14ac:dyDescent="0.3">
      <c r="A72" s="26">
        <v>71</v>
      </c>
      <c r="B72" s="26" t="s">
        <v>224</v>
      </c>
      <c r="C72" s="27" t="s">
        <v>332</v>
      </c>
      <c r="D72" s="7" t="s">
        <v>336</v>
      </c>
      <c r="E72" s="7" t="s">
        <v>337</v>
      </c>
      <c r="F72" s="28">
        <v>886138</v>
      </c>
      <c r="G72" s="29" t="s">
        <v>169</v>
      </c>
      <c r="H72" s="30">
        <f>[1]PAYMENTS!C61</f>
        <v>317502</v>
      </c>
      <c r="I72" s="30">
        <f t="shared" si="4"/>
        <v>568636</v>
      </c>
      <c r="J72" s="7">
        <f t="shared" ca="1" si="5"/>
        <v>7</v>
      </c>
      <c r="K72" s="7" t="str">
        <f t="shared" ca="1" si="6"/>
        <v>0-30 Days</v>
      </c>
      <c r="L72" s="7" t="str">
        <f t="shared" ca="1" si="7"/>
        <v>Low</v>
      </c>
      <c r="M72" s="7" t="str">
        <f>[1]PAYMENTS!D61</f>
        <v xml:space="preserve">Paid Online </v>
      </c>
      <c r="N72" s="7" t="str">
        <f>IF(MasterARReport[[#This Row],[Outstanding Amount]]=0, "PAID", "PENDING")</f>
        <v>PENDING</v>
      </c>
    </row>
    <row r="73" spans="1:14" x14ac:dyDescent="0.3">
      <c r="A73" s="37">
        <v>72</v>
      </c>
      <c r="B73" s="37" t="s">
        <v>224</v>
      </c>
      <c r="C73" s="38" t="s">
        <v>311</v>
      </c>
      <c r="D73" s="39" t="s">
        <v>338</v>
      </c>
      <c r="E73" s="39" t="s">
        <v>337</v>
      </c>
      <c r="F73" s="40">
        <v>19688</v>
      </c>
      <c r="G73" s="41" t="s">
        <v>331</v>
      </c>
      <c r="H73" s="42">
        <v>0</v>
      </c>
      <c r="I73" s="42">
        <f t="shared" si="4"/>
        <v>19688</v>
      </c>
      <c r="J73" s="39">
        <f t="shared" ca="1" si="5"/>
        <v>0</v>
      </c>
      <c r="K73" s="39" t="str">
        <f t="shared" ca="1" si="6"/>
        <v>0-30 Days</v>
      </c>
      <c r="L73" s="39" t="str">
        <f t="shared" ca="1" si="7"/>
        <v>Low</v>
      </c>
      <c r="M73" s="39"/>
      <c r="N73" s="7" t="str">
        <f>IF(MasterARReport[[#This Row],[Outstanding Amount]]=0, "PAID", "PENDING")</f>
        <v>PENDING</v>
      </c>
    </row>
    <row r="74" spans="1:14" x14ac:dyDescent="0.3">
      <c r="A74" s="26">
        <v>73</v>
      </c>
      <c r="B74" s="26" t="s">
        <v>224</v>
      </c>
      <c r="C74" s="27" t="s">
        <v>318</v>
      </c>
      <c r="D74" s="7" t="s">
        <v>339</v>
      </c>
      <c r="E74" s="7" t="s">
        <v>337</v>
      </c>
      <c r="F74" s="28">
        <v>11676</v>
      </c>
      <c r="G74" s="29" t="s">
        <v>340</v>
      </c>
      <c r="H74" s="30">
        <v>0</v>
      </c>
      <c r="I74" s="30">
        <f t="shared" si="4"/>
        <v>11676</v>
      </c>
      <c r="J74" s="7">
        <f t="shared" ca="1" si="5"/>
        <v>0</v>
      </c>
      <c r="K74" s="7" t="str">
        <f t="shared" ca="1" si="6"/>
        <v>0-30 Days</v>
      </c>
      <c r="L74" s="7" t="str">
        <f t="shared" ca="1" si="7"/>
        <v>Low</v>
      </c>
      <c r="M74" s="7"/>
      <c r="N74" s="7" t="str">
        <f>IF(MasterARReport[[#This Row],[Outstanding Amount]]=0, "PAID", "PENDING")</f>
        <v>PENDING</v>
      </c>
    </row>
    <row r="75" spans="1:14" x14ac:dyDescent="0.3">
      <c r="A75" s="37">
        <v>74</v>
      </c>
      <c r="B75" s="37" t="s">
        <v>224</v>
      </c>
      <c r="C75" s="38" t="s">
        <v>303</v>
      </c>
      <c r="D75" s="39" t="s">
        <v>341</v>
      </c>
      <c r="E75" s="39" t="s">
        <v>233</v>
      </c>
      <c r="F75" s="40">
        <v>120998</v>
      </c>
      <c r="G75" s="41" t="s">
        <v>178</v>
      </c>
      <c r="H75" s="42">
        <v>0</v>
      </c>
      <c r="I75" s="42">
        <f t="shared" si="4"/>
        <v>120998</v>
      </c>
      <c r="J75" s="39">
        <f t="shared" ca="1" si="5"/>
        <v>10</v>
      </c>
      <c r="K75" s="39" t="str">
        <f t="shared" ca="1" si="6"/>
        <v>0-30 Days</v>
      </c>
      <c r="L75" s="39" t="str">
        <f t="shared" ca="1" si="7"/>
        <v>Low</v>
      </c>
      <c r="M75" s="39"/>
      <c r="N75" s="7" t="str">
        <f>IF(MasterARReport[[#This Row],[Outstanding Amount]]=0, "PAID", "PENDING")</f>
        <v>PENDING</v>
      </c>
    </row>
    <row r="76" spans="1:14" x14ac:dyDescent="0.3">
      <c r="A76" s="26">
        <v>75</v>
      </c>
      <c r="B76" s="26" t="s">
        <v>224</v>
      </c>
      <c r="C76" s="27" t="s">
        <v>342</v>
      </c>
      <c r="D76" s="7" t="s">
        <v>343</v>
      </c>
      <c r="E76" s="7" t="s">
        <v>233</v>
      </c>
      <c r="F76" s="28">
        <v>13397</v>
      </c>
      <c r="G76" s="29" t="s">
        <v>344</v>
      </c>
      <c r="H76" s="30">
        <v>0</v>
      </c>
      <c r="I76" s="30">
        <f t="shared" si="4"/>
        <v>13397</v>
      </c>
      <c r="J76" s="7">
        <f t="shared" ca="1" si="5"/>
        <v>8</v>
      </c>
      <c r="K76" s="7" t="str">
        <f t="shared" ca="1" si="6"/>
        <v>0-30 Days</v>
      </c>
      <c r="L76" s="7" t="str">
        <f t="shared" ca="1" si="7"/>
        <v>Low</v>
      </c>
      <c r="M76" s="7"/>
      <c r="N76" s="7" t="str">
        <f>IF(MasterARReport[[#This Row],[Outstanding Amount]]=0, "PAID", "PENDING")</f>
        <v>PENDING</v>
      </c>
    </row>
    <row r="77" spans="1:14" x14ac:dyDescent="0.3">
      <c r="A77" s="37">
        <v>76</v>
      </c>
      <c r="B77" s="37" t="s">
        <v>224</v>
      </c>
      <c r="C77" s="38" t="s">
        <v>342</v>
      </c>
      <c r="D77" s="39" t="s">
        <v>345</v>
      </c>
      <c r="E77" s="39" t="s">
        <v>239</v>
      </c>
      <c r="F77" s="40">
        <v>19111</v>
      </c>
      <c r="G77" s="41" t="s">
        <v>346</v>
      </c>
      <c r="H77" s="42">
        <v>0</v>
      </c>
      <c r="I77" s="42">
        <f t="shared" si="4"/>
        <v>19111</v>
      </c>
      <c r="J77" s="39">
        <f t="shared" ca="1" si="5"/>
        <v>0</v>
      </c>
      <c r="K77" s="39" t="str">
        <f t="shared" ca="1" si="6"/>
        <v>0-30 Days</v>
      </c>
      <c r="L77" s="39" t="str">
        <f t="shared" ca="1" si="7"/>
        <v>Low</v>
      </c>
      <c r="M77" s="39"/>
      <c r="N77" s="7" t="str">
        <f>IF(MasterARReport[[#This Row],[Outstanding Amount]]=0, "PAID", "PENDING")</f>
        <v>PENDING</v>
      </c>
    </row>
    <row r="78" spans="1:14" x14ac:dyDescent="0.3">
      <c r="A78" s="26">
        <v>77</v>
      </c>
      <c r="B78" s="26" t="s">
        <v>224</v>
      </c>
      <c r="C78" s="27" t="s">
        <v>303</v>
      </c>
      <c r="D78" s="7" t="s">
        <v>347</v>
      </c>
      <c r="E78" s="7" t="s">
        <v>226</v>
      </c>
      <c r="F78" s="28">
        <v>1</v>
      </c>
      <c r="G78" s="29" t="s">
        <v>303</v>
      </c>
      <c r="H78" s="30">
        <v>0</v>
      </c>
      <c r="I78" s="30">
        <f t="shared" si="4"/>
        <v>1</v>
      </c>
      <c r="J78" s="7">
        <f t="shared" ca="1" si="5"/>
        <v>11</v>
      </c>
      <c r="K78" s="7" t="str">
        <f t="shared" ca="1" si="6"/>
        <v>0-30 Days</v>
      </c>
      <c r="L78" s="7" t="str">
        <f t="shared" ca="1" si="7"/>
        <v>Low</v>
      </c>
      <c r="M78" s="7"/>
      <c r="N78" s="7" t="str">
        <f>IF(MasterARReport[[#This Row],[Outstanding Amount]]=0, "PAID", "PENDING")</f>
        <v>PENDING</v>
      </c>
    </row>
    <row r="79" spans="1:14" x14ac:dyDescent="0.3">
      <c r="A79" s="37">
        <v>78</v>
      </c>
      <c r="B79" s="37" t="s">
        <v>224</v>
      </c>
      <c r="C79" s="38" t="s">
        <v>344</v>
      </c>
      <c r="D79" s="39" t="s">
        <v>348</v>
      </c>
      <c r="E79" s="39" t="s">
        <v>337</v>
      </c>
      <c r="F79" s="40">
        <v>33663</v>
      </c>
      <c r="G79" s="41" t="s">
        <v>169</v>
      </c>
      <c r="H79" s="42">
        <v>0</v>
      </c>
      <c r="I79" s="42">
        <f t="shared" si="4"/>
        <v>33663</v>
      </c>
      <c r="J79" s="39">
        <f t="shared" ca="1" si="5"/>
        <v>7</v>
      </c>
      <c r="K79" s="39" t="str">
        <f t="shared" ca="1" si="6"/>
        <v>0-30 Days</v>
      </c>
      <c r="L79" s="39" t="str">
        <f t="shared" ca="1" si="7"/>
        <v>Low</v>
      </c>
      <c r="M79" s="39"/>
      <c r="N79" s="7" t="str">
        <f>IF(MasterARReport[[#This Row],[Outstanding Amount]]=0, "PAID", "PENDING")</f>
        <v>PENDING</v>
      </c>
    </row>
    <row r="80" spans="1:14" x14ac:dyDescent="0.3">
      <c r="A80" s="26">
        <v>79</v>
      </c>
      <c r="B80" s="26" t="s">
        <v>224</v>
      </c>
      <c r="C80" s="27" t="s">
        <v>303</v>
      </c>
      <c r="D80" s="7" t="s">
        <v>349</v>
      </c>
      <c r="E80" s="7" t="s">
        <v>337</v>
      </c>
      <c r="F80" s="28">
        <v>29485</v>
      </c>
      <c r="G80" s="29" t="s">
        <v>350</v>
      </c>
      <c r="H80" s="30">
        <v>0</v>
      </c>
      <c r="I80" s="30">
        <f t="shared" si="4"/>
        <v>29485</v>
      </c>
      <c r="J80" s="7">
        <f t="shared" ca="1" si="5"/>
        <v>0</v>
      </c>
      <c r="K80" s="7" t="str">
        <f t="shared" ca="1" si="6"/>
        <v>0-30 Days</v>
      </c>
      <c r="L80" s="7" t="str">
        <f t="shared" ca="1" si="7"/>
        <v>Low</v>
      </c>
      <c r="M80" s="7"/>
      <c r="N80" s="7" t="str">
        <f>IF(MasterARReport[[#This Row],[Outstanding Amount]]=0, "PAID", "PENDING")</f>
        <v>PENDING</v>
      </c>
    </row>
    <row r="81" spans="1:14" x14ac:dyDescent="0.3">
      <c r="A81" s="56">
        <v>80</v>
      </c>
      <c r="B81" s="56" t="s">
        <v>224</v>
      </c>
      <c r="C81" s="57">
        <v>46161</v>
      </c>
      <c r="D81" s="58" t="s">
        <v>351</v>
      </c>
      <c r="E81" s="58" t="s">
        <v>337</v>
      </c>
      <c r="F81" s="59">
        <v>206851</v>
      </c>
      <c r="G81" s="60">
        <v>46206</v>
      </c>
      <c r="H81" s="61">
        <v>0</v>
      </c>
      <c r="I81" s="61">
        <f t="shared" si="4"/>
        <v>206851</v>
      </c>
      <c r="J81" s="58">
        <f t="shared" ca="1" si="5"/>
        <v>0</v>
      </c>
      <c r="K81" s="58" t="str">
        <f t="shared" ca="1" si="6"/>
        <v>0-30 Days</v>
      </c>
      <c r="L81" s="58" t="str">
        <f t="shared" ca="1" si="7"/>
        <v>Low</v>
      </c>
      <c r="M81" s="58"/>
      <c r="N81" s="7" t="str">
        <f>IF(MasterARReport[[#This Row],[Outstanding Amount]]=0, "PAID", "PENDING")</f>
        <v>PENDING</v>
      </c>
    </row>
    <row r="82" spans="1:14" x14ac:dyDescent="0.3">
      <c r="A82" s="56">
        <v>81</v>
      </c>
      <c r="B82" s="56" t="s">
        <v>224</v>
      </c>
      <c r="C82" s="57">
        <v>46162</v>
      </c>
      <c r="D82" s="58" t="s">
        <v>352</v>
      </c>
      <c r="E82" s="58" t="s">
        <v>337</v>
      </c>
      <c r="F82" s="59">
        <v>9028</v>
      </c>
      <c r="G82" s="60">
        <v>46207</v>
      </c>
      <c r="H82" s="61">
        <v>0</v>
      </c>
      <c r="I82" s="61">
        <f t="shared" si="4"/>
        <v>9028</v>
      </c>
      <c r="J82" s="58">
        <f t="shared" ca="1" si="5"/>
        <v>0</v>
      </c>
      <c r="K82" s="58" t="str">
        <f t="shared" ca="1" si="6"/>
        <v>0-30 Days</v>
      </c>
      <c r="L82" s="58" t="str">
        <f t="shared" ca="1" si="7"/>
        <v>Low</v>
      </c>
      <c r="M82" s="58"/>
      <c r="N82" s="7" t="str">
        <f>IF(MasterARReport[[#This Row],[Outstanding Amount]]=0, "PAID", "PENDING")</f>
        <v>PENDING</v>
      </c>
    </row>
    <row r="83" spans="1:14" x14ac:dyDescent="0.3">
      <c r="A83" s="56">
        <v>82</v>
      </c>
      <c r="B83" s="56" t="s">
        <v>224</v>
      </c>
      <c r="C83" s="57">
        <v>46162</v>
      </c>
      <c r="D83" s="58" t="s">
        <v>353</v>
      </c>
      <c r="E83" s="58" t="s">
        <v>337</v>
      </c>
      <c r="F83" s="59">
        <v>20093</v>
      </c>
      <c r="G83" s="60">
        <v>46207</v>
      </c>
      <c r="H83" s="61">
        <v>0</v>
      </c>
      <c r="I83" s="61">
        <f t="shared" si="4"/>
        <v>20093</v>
      </c>
      <c r="J83" s="58">
        <f t="shared" ca="1" si="5"/>
        <v>0</v>
      </c>
      <c r="K83" s="58" t="str">
        <f t="shared" ca="1" si="6"/>
        <v>0-30 Days</v>
      </c>
      <c r="L83" s="58" t="str">
        <f t="shared" ca="1" si="7"/>
        <v>Low</v>
      </c>
      <c r="M83" s="58"/>
      <c r="N83" s="7" t="str">
        <f>IF(MasterARReport[[#This Row],[Outstanding Amount]]=0, "PAID", "PENDING")</f>
        <v>PENDING</v>
      </c>
    </row>
    <row r="84" spans="1:14" x14ac:dyDescent="0.3">
      <c r="A84" s="56">
        <v>83</v>
      </c>
      <c r="B84" s="56" t="s">
        <v>224</v>
      </c>
      <c r="C84" s="57">
        <v>46162</v>
      </c>
      <c r="D84" s="58" t="s">
        <v>354</v>
      </c>
      <c r="E84" s="58" t="s">
        <v>337</v>
      </c>
      <c r="F84" s="59">
        <v>118616</v>
      </c>
      <c r="G84" s="60">
        <v>46207</v>
      </c>
      <c r="H84" s="61">
        <v>0</v>
      </c>
      <c r="I84" s="61">
        <f t="shared" si="4"/>
        <v>118616</v>
      </c>
      <c r="J84" s="58">
        <f t="shared" ca="1" si="5"/>
        <v>0</v>
      </c>
      <c r="K84" s="58" t="str">
        <f t="shared" ca="1" si="6"/>
        <v>0-30 Days</v>
      </c>
      <c r="L84" s="58" t="str">
        <f t="shared" ca="1" si="7"/>
        <v>Low</v>
      </c>
      <c r="M84" s="58"/>
      <c r="N84" s="7" t="str">
        <f>IF(MasterARReport[[#This Row],[Outstanding Amount]]=0, "PAID", "PENDING")</f>
        <v>PENDING</v>
      </c>
    </row>
    <row r="85" spans="1:14" x14ac:dyDescent="0.3">
      <c r="A85" s="56">
        <v>84</v>
      </c>
      <c r="B85" s="56" t="s">
        <v>224</v>
      </c>
      <c r="C85" s="57">
        <v>46164</v>
      </c>
      <c r="D85" s="58" t="s">
        <v>355</v>
      </c>
      <c r="E85" s="58" t="s">
        <v>337</v>
      </c>
      <c r="F85" s="59">
        <v>41660</v>
      </c>
      <c r="G85" s="60">
        <v>46209</v>
      </c>
      <c r="H85" s="61">
        <v>0</v>
      </c>
      <c r="I85" s="61">
        <f t="shared" si="4"/>
        <v>41660</v>
      </c>
      <c r="J85" s="58">
        <f t="shared" ca="1" si="5"/>
        <v>0</v>
      </c>
      <c r="K85" s="58" t="str">
        <f t="shared" ca="1" si="6"/>
        <v>0-30 Days</v>
      </c>
      <c r="L85" s="58" t="str">
        <f t="shared" ca="1" si="7"/>
        <v>Low</v>
      </c>
      <c r="M85" s="58"/>
      <c r="N85" s="7" t="str">
        <f>IF(MasterARReport[[#This Row],[Outstanding Amount]]=0, "PAID", "PENDING")</f>
        <v>PENDING</v>
      </c>
    </row>
    <row r="86" spans="1:14" x14ac:dyDescent="0.3">
      <c r="A86" s="56">
        <v>85</v>
      </c>
      <c r="B86" s="56" t="s">
        <v>224</v>
      </c>
      <c r="C86" s="57">
        <v>46165</v>
      </c>
      <c r="D86" s="58" t="s">
        <v>356</v>
      </c>
      <c r="E86" s="58" t="s">
        <v>337</v>
      </c>
      <c r="F86" s="59">
        <v>52735</v>
      </c>
      <c r="G86" s="60">
        <v>46210</v>
      </c>
      <c r="H86" s="61">
        <v>0</v>
      </c>
      <c r="I86" s="61">
        <f t="shared" si="4"/>
        <v>52735</v>
      </c>
      <c r="J86" s="58">
        <f t="shared" ca="1" si="5"/>
        <v>0</v>
      </c>
      <c r="K86" s="58" t="str">
        <f t="shared" ca="1" si="6"/>
        <v>0-30 Days</v>
      </c>
      <c r="L86" s="58" t="str">
        <f t="shared" ca="1" si="7"/>
        <v>Low</v>
      </c>
      <c r="M86" s="58"/>
      <c r="N86" s="7" t="str">
        <f>IF(MasterARReport[[#This Row],[Outstanding Amount]]=0, "PAID", "PENDING")</f>
        <v>PENDING</v>
      </c>
    </row>
    <row r="87" spans="1:14" x14ac:dyDescent="0.3">
      <c r="A87" s="56">
        <v>86</v>
      </c>
      <c r="B87" s="56" t="s">
        <v>224</v>
      </c>
      <c r="C87" s="57">
        <v>46165</v>
      </c>
      <c r="D87" s="58" t="s">
        <v>357</v>
      </c>
      <c r="E87" s="58" t="s">
        <v>254</v>
      </c>
      <c r="F87" s="59">
        <v>28280</v>
      </c>
      <c r="G87" s="60">
        <v>46210</v>
      </c>
      <c r="H87" s="61">
        <v>0</v>
      </c>
      <c r="I87" s="61">
        <f t="shared" si="4"/>
        <v>28280</v>
      </c>
      <c r="J87" s="58">
        <f t="shared" ca="1" si="5"/>
        <v>0</v>
      </c>
      <c r="K87" s="58" t="str">
        <f t="shared" ca="1" si="6"/>
        <v>0-30 Days</v>
      </c>
      <c r="L87" s="58" t="str">
        <f t="shared" ca="1" si="7"/>
        <v>Low</v>
      </c>
      <c r="M87" s="58"/>
      <c r="N87" s="7" t="str">
        <f>IF(MasterARReport[[#This Row],[Outstanding Amount]]=0, "PAID", "PENDING")</f>
        <v>PENDING</v>
      </c>
    </row>
    <row r="88" spans="1:14" x14ac:dyDescent="0.3">
      <c r="A88" s="8">
        <v>87</v>
      </c>
      <c r="B88" s="8" t="s">
        <v>358</v>
      </c>
      <c r="C88" s="9">
        <v>45083</v>
      </c>
      <c r="D88" s="10" t="s">
        <v>359</v>
      </c>
      <c r="E88" s="10" t="s">
        <v>360</v>
      </c>
      <c r="F88" s="11">
        <v>500</v>
      </c>
      <c r="G88" s="12">
        <v>45083</v>
      </c>
      <c r="H88" s="13">
        <v>0</v>
      </c>
      <c r="I88" s="13">
        <f t="shared" si="4"/>
        <v>500</v>
      </c>
      <c r="J88" s="10">
        <f t="shared" ca="1" si="5"/>
        <v>1090</v>
      </c>
      <c r="K88" s="10" t="str">
        <f t="shared" ca="1" si="6"/>
        <v>90+ Days</v>
      </c>
      <c r="L88" s="10" t="str">
        <f t="shared" ca="1" si="7"/>
        <v>HIGH RISK</v>
      </c>
      <c r="M88" s="10" t="s">
        <v>361</v>
      </c>
      <c r="N88" s="7" t="str">
        <f>IF(MasterARReport[[#This Row],[Outstanding Amount]]=0, "PAID", "PENDING")</f>
        <v>PENDING</v>
      </c>
    </row>
    <row r="89" spans="1:14" x14ac:dyDescent="0.3">
      <c r="A89" s="1">
        <v>88</v>
      </c>
      <c r="B89" s="1" t="s">
        <v>358</v>
      </c>
      <c r="C89" s="2">
        <v>46087</v>
      </c>
      <c r="D89" s="3" t="s">
        <v>362</v>
      </c>
      <c r="E89" s="3" t="s">
        <v>360</v>
      </c>
      <c r="F89" s="4">
        <v>1427</v>
      </c>
      <c r="G89" s="5">
        <v>46112</v>
      </c>
      <c r="H89" s="6">
        <v>0</v>
      </c>
      <c r="I89" s="6">
        <f t="shared" si="4"/>
        <v>1427</v>
      </c>
      <c r="J89" s="3">
        <f t="shared" ca="1" si="5"/>
        <v>61</v>
      </c>
      <c r="K89" s="3" t="str">
        <f t="shared" ca="1" si="6"/>
        <v>61-90 Days</v>
      </c>
      <c r="L89" s="3" t="str">
        <f t="shared" ca="1" si="7"/>
        <v>Medium</v>
      </c>
      <c r="M89" s="3" t="s">
        <v>363</v>
      </c>
      <c r="N89" s="7" t="str">
        <f>IF(MasterARReport[[#This Row],[Outstanding Amount]]=0, "PAID", "PENDING")</f>
        <v>PENDING</v>
      </c>
    </row>
    <row r="90" spans="1:14" x14ac:dyDescent="0.3">
      <c r="A90" s="8">
        <v>89</v>
      </c>
      <c r="B90" s="8" t="s">
        <v>358</v>
      </c>
      <c r="C90" s="9">
        <v>45870</v>
      </c>
      <c r="D90" s="10" t="s">
        <v>364</v>
      </c>
      <c r="E90" s="10" t="s">
        <v>365</v>
      </c>
      <c r="F90" s="11">
        <v>400</v>
      </c>
      <c r="G90" s="12">
        <v>45895</v>
      </c>
      <c r="H90" s="13">
        <v>0</v>
      </c>
      <c r="I90" s="13">
        <f t="shared" si="4"/>
        <v>400</v>
      </c>
      <c r="J90" s="10">
        <f t="shared" ca="1" si="5"/>
        <v>278</v>
      </c>
      <c r="K90" s="10" t="str">
        <f t="shared" ca="1" si="6"/>
        <v>90+ Days</v>
      </c>
      <c r="L90" s="10" t="str">
        <f t="shared" ca="1" si="7"/>
        <v>HIGH RISK</v>
      </c>
      <c r="M90" s="10" t="s">
        <v>366</v>
      </c>
      <c r="N90" s="7" t="str">
        <f>IF(MasterARReport[[#This Row],[Outstanding Amount]]=0, "PAID", "PENDING")</f>
        <v>PENDING</v>
      </c>
    </row>
    <row r="91" spans="1:14" x14ac:dyDescent="0.3">
      <c r="A91" s="37">
        <v>90</v>
      </c>
      <c r="B91" s="37" t="s">
        <v>358</v>
      </c>
      <c r="C91" s="38">
        <v>46119</v>
      </c>
      <c r="D91" s="39" t="s">
        <v>367</v>
      </c>
      <c r="E91" s="39" t="s">
        <v>365</v>
      </c>
      <c r="F91" s="40">
        <v>500</v>
      </c>
      <c r="G91" s="41">
        <v>46144</v>
      </c>
      <c r="H91" s="42">
        <v>0</v>
      </c>
      <c r="I91" s="42">
        <f t="shared" si="4"/>
        <v>500</v>
      </c>
      <c r="J91" s="39">
        <f t="shared" ca="1" si="5"/>
        <v>29</v>
      </c>
      <c r="K91" s="39" t="str">
        <f t="shared" ca="1" si="6"/>
        <v>0-30 Days</v>
      </c>
      <c r="L91" s="39" t="str">
        <f t="shared" ca="1" si="7"/>
        <v>Low</v>
      </c>
      <c r="M91" s="39" t="s">
        <v>366</v>
      </c>
      <c r="N91" s="7" t="str">
        <f>IF(MasterARReport[[#This Row],[Outstanding Amount]]=0, "PAID", "PENDING")</f>
        <v>PENDING</v>
      </c>
    </row>
    <row r="92" spans="1:14" x14ac:dyDescent="0.3">
      <c r="A92" s="56">
        <v>91</v>
      </c>
      <c r="B92" s="56" t="s">
        <v>358</v>
      </c>
      <c r="C92" s="57">
        <v>46156</v>
      </c>
      <c r="D92" s="58" t="s">
        <v>368</v>
      </c>
      <c r="E92" s="58" t="s">
        <v>365</v>
      </c>
      <c r="F92" s="59">
        <v>28600</v>
      </c>
      <c r="G92" s="60">
        <v>46181</v>
      </c>
      <c r="H92" s="61">
        <v>0</v>
      </c>
      <c r="I92" s="61">
        <f t="shared" si="4"/>
        <v>28600</v>
      </c>
      <c r="J92" s="58">
        <f t="shared" ca="1" si="5"/>
        <v>0</v>
      </c>
      <c r="K92" s="58" t="str">
        <f t="shared" ca="1" si="6"/>
        <v>0-30 Days</v>
      </c>
      <c r="L92" s="58" t="str">
        <f t="shared" ca="1" si="7"/>
        <v>Low</v>
      </c>
      <c r="M92" s="58"/>
      <c r="N92" s="7" t="str">
        <f>IF(MasterARReport[[#This Row],[Outstanding Amount]]=0, "PAID", "PENDING")</f>
        <v>PENDING</v>
      </c>
    </row>
    <row r="93" spans="1:14" x14ac:dyDescent="0.3">
      <c r="A93" s="14">
        <v>92</v>
      </c>
      <c r="B93" s="14" t="s">
        <v>358</v>
      </c>
      <c r="C93" s="15">
        <v>46107</v>
      </c>
      <c r="D93" s="16" t="s">
        <v>369</v>
      </c>
      <c r="E93" s="16" t="s">
        <v>370</v>
      </c>
      <c r="F93" s="17">
        <v>67462</v>
      </c>
      <c r="G93" s="18">
        <v>46107</v>
      </c>
      <c r="H93" s="19">
        <f>20000+[1]PAYMENTS!C59</f>
        <v>40000</v>
      </c>
      <c r="I93" s="19">
        <f t="shared" si="4"/>
        <v>27462</v>
      </c>
      <c r="J93" s="16">
        <f t="shared" ca="1" si="5"/>
        <v>66</v>
      </c>
      <c r="K93" s="16" t="str">
        <f t="shared" ca="1" si="6"/>
        <v>61-90 Days</v>
      </c>
      <c r="L93" s="16" t="str">
        <f t="shared" ca="1" si="7"/>
        <v>Medium</v>
      </c>
      <c r="M93" s="16" t="s">
        <v>371</v>
      </c>
      <c r="N93" s="7" t="str">
        <f>IF(MasterARReport[[#This Row],[Outstanding Amount]]=0, "PAID", "PENDING")</f>
        <v>PENDING</v>
      </c>
    </row>
    <row r="94" spans="1:14" x14ac:dyDescent="0.3">
      <c r="A94" s="20">
        <v>93</v>
      </c>
      <c r="B94" s="20" t="s">
        <v>358</v>
      </c>
      <c r="C94" s="21">
        <v>46087</v>
      </c>
      <c r="D94" s="22" t="s">
        <v>372</v>
      </c>
      <c r="E94" s="22" t="s">
        <v>373</v>
      </c>
      <c r="F94" s="23">
        <v>500</v>
      </c>
      <c r="G94" s="24">
        <v>46112</v>
      </c>
      <c r="H94" s="25">
        <v>0</v>
      </c>
      <c r="I94" s="25">
        <f t="shared" si="4"/>
        <v>500</v>
      </c>
      <c r="J94" s="22">
        <f t="shared" ca="1" si="5"/>
        <v>61</v>
      </c>
      <c r="K94" s="22" t="str">
        <f t="shared" ca="1" si="6"/>
        <v>61-90 Days</v>
      </c>
      <c r="L94" s="22" t="str">
        <f t="shared" ca="1" si="7"/>
        <v>Medium</v>
      </c>
      <c r="M94" s="22" t="s">
        <v>37</v>
      </c>
      <c r="N94" s="7" t="str">
        <f>IF(MasterARReport[[#This Row],[Outstanding Amount]]=0, "PAID", "PENDING")</f>
        <v>PENDING</v>
      </c>
    </row>
    <row r="95" spans="1:14" x14ac:dyDescent="0.3">
      <c r="A95" s="31">
        <v>94</v>
      </c>
      <c r="B95" s="31" t="s">
        <v>358</v>
      </c>
      <c r="C95" s="32">
        <v>46008</v>
      </c>
      <c r="D95" s="33" t="s">
        <v>374</v>
      </c>
      <c r="E95" s="33" t="s">
        <v>375</v>
      </c>
      <c r="F95" s="34">
        <v>101670</v>
      </c>
      <c r="G95" s="35">
        <v>46033</v>
      </c>
      <c r="H95" s="36">
        <v>20000</v>
      </c>
      <c r="I95" s="36">
        <f t="shared" si="4"/>
        <v>81670</v>
      </c>
      <c r="J95" s="33">
        <f t="shared" ca="1" si="5"/>
        <v>140</v>
      </c>
      <c r="K95" s="33" t="str">
        <f t="shared" ca="1" si="6"/>
        <v>90+ Days</v>
      </c>
      <c r="L95" s="33" t="str">
        <f t="shared" ca="1" si="7"/>
        <v>HIGH RISK</v>
      </c>
      <c r="M95" s="33" t="s">
        <v>376</v>
      </c>
      <c r="N95" s="7" t="str">
        <f>IF(MasterARReport[[#This Row],[Outstanding Amount]]=0, "PAID", "PENDING")</f>
        <v>PENDING</v>
      </c>
    </row>
    <row r="96" spans="1:14" x14ac:dyDescent="0.3">
      <c r="A96" s="8">
        <v>95</v>
      </c>
      <c r="B96" s="8" t="s">
        <v>358</v>
      </c>
      <c r="C96" s="9">
        <v>46009</v>
      </c>
      <c r="D96" s="10" t="s">
        <v>377</v>
      </c>
      <c r="E96" s="10" t="s">
        <v>375</v>
      </c>
      <c r="F96" s="11">
        <v>45784</v>
      </c>
      <c r="G96" s="12">
        <v>46034</v>
      </c>
      <c r="H96" s="13">
        <v>0</v>
      </c>
      <c r="I96" s="13">
        <f t="shared" si="4"/>
        <v>45784</v>
      </c>
      <c r="J96" s="10">
        <f t="shared" ca="1" si="5"/>
        <v>139</v>
      </c>
      <c r="K96" s="10" t="str">
        <f t="shared" ca="1" si="6"/>
        <v>90+ Days</v>
      </c>
      <c r="L96" s="10" t="str">
        <f t="shared" ca="1" si="7"/>
        <v>HIGH RISK</v>
      </c>
      <c r="M96" s="10" t="s">
        <v>376</v>
      </c>
      <c r="N96" s="7" t="str">
        <f>IF(MasterARReport[[#This Row],[Outstanding Amount]]=0, "PAID", "PENDING")</f>
        <v>PENDING</v>
      </c>
    </row>
    <row r="97" spans="1:14" x14ac:dyDescent="0.3">
      <c r="A97" s="31">
        <v>96</v>
      </c>
      <c r="B97" s="31" t="s">
        <v>358</v>
      </c>
      <c r="C97" s="32">
        <v>46011</v>
      </c>
      <c r="D97" s="33" t="s">
        <v>378</v>
      </c>
      <c r="E97" s="33" t="s">
        <v>375</v>
      </c>
      <c r="F97" s="34">
        <v>217599</v>
      </c>
      <c r="G97" s="35">
        <v>46036</v>
      </c>
      <c r="H97" s="36">
        <v>0</v>
      </c>
      <c r="I97" s="36">
        <f t="shared" si="4"/>
        <v>217599</v>
      </c>
      <c r="J97" s="33">
        <f t="shared" ca="1" si="5"/>
        <v>137</v>
      </c>
      <c r="K97" s="33" t="str">
        <f t="shared" ca="1" si="6"/>
        <v>90+ Days</v>
      </c>
      <c r="L97" s="33" t="str">
        <f t="shared" ca="1" si="7"/>
        <v>HIGH RISK</v>
      </c>
      <c r="M97" s="33" t="s">
        <v>376</v>
      </c>
      <c r="N97" s="7" t="str">
        <f>IF(MasterARReport[[#This Row],[Outstanding Amount]]=0, "PAID", "PENDING")</f>
        <v>PENDING</v>
      </c>
    </row>
    <row r="98" spans="1:14" x14ac:dyDescent="0.3">
      <c r="A98" s="20">
        <v>97</v>
      </c>
      <c r="B98" s="20" t="s">
        <v>358</v>
      </c>
      <c r="C98" s="21">
        <v>46094</v>
      </c>
      <c r="D98" s="22" t="s">
        <v>379</v>
      </c>
      <c r="E98" s="22" t="s">
        <v>375</v>
      </c>
      <c r="F98" s="23">
        <v>134125</v>
      </c>
      <c r="G98" s="24">
        <v>46119</v>
      </c>
      <c r="H98" s="25">
        <v>0</v>
      </c>
      <c r="I98" s="25">
        <f t="shared" si="4"/>
        <v>134125</v>
      </c>
      <c r="J98" s="22">
        <f t="shared" ca="1" si="5"/>
        <v>54</v>
      </c>
      <c r="K98" s="22" t="str">
        <f t="shared" ca="1" si="6"/>
        <v>31-60 Days</v>
      </c>
      <c r="L98" s="22" t="str">
        <f t="shared" ca="1" si="7"/>
        <v>Low-Medium</v>
      </c>
      <c r="M98" s="22" t="s">
        <v>376</v>
      </c>
      <c r="N98" s="7" t="str">
        <f>IF(MasterARReport[[#This Row],[Outstanding Amount]]=0, "PAID", "PENDING")</f>
        <v>PENDING</v>
      </c>
    </row>
    <row r="99" spans="1:14" x14ac:dyDescent="0.3">
      <c r="A99" s="1">
        <v>98</v>
      </c>
      <c r="B99" s="1" t="s">
        <v>358</v>
      </c>
      <c r="C99" s="2">
        <v>46108</v>
      </c>
      <c r="D99" s="3" t="s">
        <v>380</v>
      </c>
      <c r="E99" s="3" t="s">
        <v>375</v>
      </c>
      <c r="F99" s="4">
        <v>97809</v>
      </c>
      <c r="G99" s="5">
        <v>46133</v>
      </c>
      <c r="H99" s="6">
        <v>0</v>
      </c>
      <c r="I99" s="6">
        <f t="shared" si="4"/>
        <v>97809</v>
      </c>
      <c r="J99" s="3">
        <f t="shared" ca="1" si="5"/>
        <v>40</v>
      </c>
      <c r="K99" s="3" t="str">
        <f t="shared" ca="1" si="6"/>
        <v>31-60 Days</v>
      </c>
      <c r="L99" s="3" t="str">
        <f t="shared" ca="1" si="7"/>
        <v>Low-Medium</v>
      </c>
      <c r="M99" s="3" t="s">
        <v>376</v>
      </c>
      <c r="N99" s="7" t="str">
        <f>IF(MasterARReport[[#This Row],[Outstanding Amount]]=0, "PAID", "PENDING")</f>
        <v>PENDING</v>
      </c>
    </row>
    <row r="100" spans="1:14" x14ac:dyDescent="0.3">
      <c r="A100" s="26">
        <v>99</v>
      </c>
      <c r="B100" s="26" t="s">
        <v>358</v>
      </c>
      <c r="C100" s="27">
        <v>46127</v>
      </c>
      <c r="D100" s="7" t="s">
        <v>381</v>
      </c>
      <c r="E100" s="7" t="s">
        <v>375</v>
      </c>
      <c r="F100" s="28">
        <v>47335</v>
      </c>
      <c r="G100" s="29">
        <v>46152</v>
      </c>
      <c r="H100" s="30">
        <v>0</v>
      </c>
      <c r="I100" s="30">
        <f t="shared" si="4"/>
        <v>47335</v>
      </c>
      <c r="J100" s="7">
        <f t="shared" ca="1" si="5"/>
        <v>21</v>
      </c>
      <c r="K100" s="7" t="str">
        <f t="shared" ca="1" si="6"/>
        <v>0-30 Days</v>
      </c>
      <c r="L100" s="7" t="str">
        <f t="shared" ca="1" si="7"/>
        <v>Low</v>
      </c>
      <c r="M100" s="7" t="s">
        <v>376</v>
      </c>
      <c r="N100" s="7" t="str">
        <f>IF(MasterARReport[[#This Row],[Outstanding Amount]]=0, "PAID", "PENDING")</f>
        <v>PENDING</v>
      </c>
    </row>
    <row r="101" spans="1:14" x14ac:dyDescent="0.3">
      <c r="A101" s="56">
        <v>100</v>
      </c>
      <c r="B101" s="56" t="s">
        <v>358</v>
      </c>
      <c r="C101" s="57">
        <v>46156</v>
      </c>
      <c r="D101" s="58" t="s">
        <v>382</v>
      </c>
      <c r="E101" s="58" t="s">
        <v>375</v>
      </c>
      <c r="F101" s="59">
        <v>112417</v>
      </c>
      <c r="G101" s="60">
        <v>46181</v>
      </c>
      <c r="H101" s="61">
        <v>0</v>
      </c>
      <c r="I101" s="61">
        <f t="shared" si="4"/>
        <v>112417</v>
      </c>
      <c r="J101" s="58">
        <f t="shared" ca="1" si="5"/>
        <v>0</v>
      </c>
      <c r="K101" s="58" t="str">
        <f t="shared" ca="1" si="6"/>
        <v>0-30 Days</v>
      </c>
      <c r="L101" s="58" t="str">
        <f t="shared" ca="1" si="7"/>
        <v>Low</v>
      </c>
      <c r="M101" s="58" t="s">
        <v>376</v>
      </c>
      <c r="N101" s="7" t="str">
        <f>IF(MasterARReport[[#This Row],[Outstanding Amount]]=0, "PAID", "PENDING")</f>
        <v>PENDING</v>
      </c>
    </row>
    <row r="102" spans="1:14" x14ac:dyDescent="0.3">
      <c r="A102" s="56">
        <v>101</v>
      </c>
      <c r="B102" s="56" t="s">
        <v>358</v>
      </c>
      <c r="C102" s="57">
        <v>46156</v>
      </c>
      <c r="D102" s="58" t="s">
        <v>383</v>
      </c>
      <c r="E102" s="58" t="s">
        <v>375</v>
      </c>
      <c r="F102" s="59">
        <v>3614</v>
      </c>
      <c r="G102" s="60">
        <v>46181</v>
      </c>
      <c r="H102" s="61">
        <v>0</v>
      </c>
      <c r="I102" s="61">
        <f t="shared" si="4"/>
        <v>3614</v>
      </c>
      <c r="J102" s="58">
        <f t="shared" ca="1" si="5"/>
        <v>0</v>
      </c>
      <c r="K102" s="58" t="str">
        <f t="shared" ca="1" si="6"/>
        <v>0-30 Days</v>
      </c>
      <c r="L102" s="58" t="str">
        <f t="shared" ca="1" si="7"/>
        <v>Low</v>
      </c>
      <c r="M102" s="58" t="s">
        <v>376</v>
      </c>
      <c r="N102" s="7" t="str">
        <f>IF(MasterARReport[[#This Row],[Outstanding Amount]]=0, "PAID", "PENDING")</f>
        <v>PENDING</v>
      </c>
    </row>
    <row r="103" spans="1:14" x14ac:dyDescent="0.3">
      <c r="A103" s="31">
        <v>102</v>
      </c>
      <c r="B103" s="31" t="s">
        <v>358</v>
      </c>
      <c r="C103" s="32">
        <v>45988</v>
      </c>
      <c r="D103" s="33" t="s">
        <v>384</v>
      </c>
      <c r="E103" s="33" t="s">
        <v>385</v>
      </c>
      <c r="F103" s="34">
        <v>107348</v>
      </c>
      <c r="G103" s="35">
        <v>46013</v>
      </c>
      <c r="H103" s="36">
        <f>[1]PAYMENTS!C24</f>
        <v>25000</v>
      </c>
      <c r="I103" s="36">
        <f t="shared" si="4"/>
        <v>82348</v>
      </c>
      <c r="J103" s="33">
        <f t="shared" ca="1" si="5"/>
        <v>160</v>
      </c>
      <c r="K103" s="33" t="str">
        <f t="shared" ca="1" si="6"/>
        <v>90+ Days</v>
      </c>
      <c r="L103" s="33" t="str">
        <f t="shared" ca="1" si="7"/>
        <v>HIGH RISK</v>
      </c>
      <c r="M103" s="33" t="s">
        <v>37</v>
      </c>
      <c r="N103" s="7" t="str">
        <f>IF(MasterARReport[[#This Row],[Outstanding Amount]]=0, "PAID", "PENDING")</f>
        <v>PENDING</v>
      </c>
    </row>
    <row r="104" spans="1:14" x14ac:dyDescent="0.3">
      <c r="A104" s="26">
        <v>103</v>
      </c>
      <c r="B104" s="26" t="s">
        <v>358</v>
      </c>
      <c r="C104" s="27">
        <v>46123</v>
      </c>
      <c r="D104" s="7" t="s">
        <v>386</v>
      </c>
      <c r="E104" s="7" t="s">
        <v>385</v>
      </c>
      <c r="F104" s="28">
        <v>94833</v>
      </c>
      <c r="G104" s="29">
        <v>46148</v>
      </c>
      <c r="H104" s="30">
        <v>0</v>
      </c>
      <c r="I104" s="30">
        <f t="shared" si="4"/>
        <v>94833</v>
      </c>
      <c r="J104" s="7">
        <f t="shared" ca="1" si="5"/>
        <v>25</v>
      </c>
      <c r="K104" s="7" t="str">
        <f t="shared" ca="1" si="6"/>
        <v>0-30 Days</v>
      </c>
      <c r="L104" s="7" t="str">
        <f t="shared" ca="1" si="7"/>
        <v>Low</v>
      </c>
      <c r="M104" s="7" t="s">
        <v>37</v>
      </c>
      <c r="N104" s="7" t="str">
        <f>IF(MasterARReport[[#This Row],[Outstanding Amount]]=0, "PAID", "PENDING")</f>
        <v>PENDING</v>
      </c>
    </row>
    <row r="105" spans="1:14" x14ac:dyDescent="0.3">
      <c r="A105" s="1">
        <v>104</v>
      </c>
      <c r="B105" s="1" t="s">
        <v>358</v>
      </c>
      <c r="C105" s="2">
        <v>46112</v>
      </c>
      <c r="D105" s="3" t="s">
        <v>387</v>
      </c>
      <c r="E105" s="3" t="s">
        <v>388</v>
      </c>
      <c r="F105" s="4">
        <v>146950</v>
      </c>
      <c r="G105" s="5">
        <v>46137</v>
      </c>
      <c r="H105" s="6">
        <v>146950</v>
      </c>
      <c r="I105" s="6">
        <f t="shared" si="4"/>
        <v>0</v>
      </c>
      <c r="J105" s="3">
        <f t="shared" ca="1" si="5"/>
        <v>36</v>
      </c>
      <c r="K105" s="3" t="str">
        <f t="shared" si="6"/>
        <v>Current</v>
      </c>
      <c r="L105" s="3" t="str">
        <f t="shared" si="7"/>
        <v>-</v>
      </c>
      <c r="M105" s="3" t="s">
        <v>389</v>
      </c>
      <c r="N105" s="7" t="str">
        <f>IF(MasterARReport[[#This Row],[Outstanding Amount]]=0, "PAID", "PENDING")</f>
        <v>PAID</v>
      </c>
    </row>
    <row r="106" spans="1:14" x14ac:dyDescent="0.3">
      <c r="A106" s="26">
        <v>105</v>
      </c>
      <c r="B106" s="26" t="s">
        <v>358</v>
      </c>
      <c r="C106" s="27">
        <v>46133</v>
      </c>
      <c r="D106" s="7" t="s">
        <v>390</v>
      </c>
      <c r="E106" s="7" t="s">
        <v>391</v>
      </c>
      <c r="F106" s="28">
        <v>120696</v>
      </c>
      <c r="G106" s="29">
        <v>46158</v>
      </c>
      <c r="H106" s="30">
        <v>0</v>
      </c>
      <c r="I106" s="30">
        <f t="shared" si="4"/>
        <v>120696</v>
      </c>
      <c r="J106" s="7">
        <f t="shared" ca="1" si="5"/>
        <v>15</v>
      </c>
      <c r="K106" s="7" t="str">
        <f t="shared" ca="1" si="6"/>
        <v>0-30 Days</v>
      </c>
      <c r="L106" s="7" t="str">
        <f t="shared" ca="1" si="7"/>
        <v>Low</v>
      </c>
      <c r="M106" s="7"/>
      <c r="N106" s="7" t="str">
        <f>IF(MasterARReport[[#This Row],[Outstanding Amount]]=0, "PAID", "PENDING")</f>
        <v>PENDING</v>
      </c>
    </row>
    <row r="107" spans="1:14" x14ac:dyDescent="0.3">
      <c r="A107" s="37">
        <v>106</v>
      </c>
      <c r="B107" s="37" t="s">
        <v>358</v>
      </c>
      <c r="C107" s="38">
        <v>46139</v>
      </c>
      <c r="D107" s="39" t="s">
        <v>392</v>
      </c>
      <c r="E107" s="39" t="s">
        <v>391</v>
      </c>
      <c r="F107" s="40">
        <v>25410</v>
      </c>
      <c r="G107" s="41">
        <v>46164</v>
      </c>
      <c r="H107" s="42">
        <v>0</v>
      </c>
      <c r="I107" s="42">
        <f t="shared" si="4"/>
        <v>25410</v>
      </c>
      <c r="J107" s="39">
        <f t="shared" ca="1" si="5"/>
        <v>9</v>
      </c>
      <c r="K107" s="39" t="str">
        <f t="shared" ca="1" si="6"/>
        <v>0-30 Days</v>
      </c>
      <c r="L107" s="39" t="str">
        <f t="shared" ca="1" si="7"/>
        <v>Low</v>
      </c>
      <c r="M107" s="39"/>
      <c r="N107" s="7" t="str">
        <f>IF(MasterARReport[[#This Row],[Outstanding Amount]]=0, "PAID", "PENDING")</f>
        <v>PENDING</v>
      </c>
    </row>
    <row r="108" spans="1:14" x14ac:dyDescent="0.3">
      <c r="A108" s="20">
        <v>107</v>
      </c>
      <c r="B108" s="20" t="s">
        <v>358</v>
      </c>
      <c r="C108" s="21">
        <v>46104</v>
      </c>
      <c r="D108" s="22" t="s">
        <v>393</v>
      </c>
      <c r="E108" s="22" t="s">
        <v>394</v>
      </c>
      <c r="F108" s="23">
        <v>1329</v>
      </c>
      <c r="G108" s="24">
        <v>46129</v>
      </c>
      <c r="H108" s="25">
        <v>0</v>
      </c>
      <c r="I108" s="25">
        <f t="shared" si="4"/>
        <v>1329</v>
      </c>
      <c r="J108" s="22">
        <f t="shared" ca="1" si="5"/>
        <v>44</v>
      </c>
      <c r="K108" s="22" t="str">
        <f t="shared" ca="1" si="6"/>
        <v>31-60 Days</v>
      </c>
      <c r="L108" s="22" t="str">
        <f t="shared" ca="1" si="7"/>
        <v>Low-Medium</v>
      </c>
      <c r="M108" s="22" t="s">
        <v>395</v>
      </c>
      <c r="N108" s="7" t="str">
        <f>IF(MasterARReport[[#This Row],[Outstanding Amount]]=0, "PAID", "PENDING")</f>
        <v>PENDING</v>
      </c>
    </row>
    <row r="109" spans="1:14" x14ac:dyDescent="0.3">
      <c r="A109" s="37">
        <v>108</v>
      </c>
      <c r="B109" s="37" t="s">
        <v>358</v>
      </c>
      <c r="C109" s="38">
        <v>46136</v>
      </c>
      <c r="D109" s="39" t="s">
        <v>396</v>
      </c>
      <c r="E109" s="39" t="s">
        <v>397</v>
      </c>
      <c r="F109" s="40">
        <v>135197</v>
      </c>
      <c r="G109" s="41">
        <v>46161</v>
      </c>
      <c r="H109" s="42">
        <v>0</v>
      </c>
      <c r="I109" s="42">
        <f t="shared" si="4"/>
        <v>135197</v>
      </c>
      <c r="J109" s="39">
        <f t="shared" ca="1" si="5"/>
        <v>12</v>
      </c>
      <c r="K109" s="39" t="str">
        <f t="shared" ca="1" si="6"/>
        <v>0-30 Days</v>
      </c>
      <c r="L109" s="39" t="str">
        <f t="shared" ca="1" si="7"/>
        <v>Low</v>
      </c>
      <c r="M109" s="39"/>
      <c r="N109" s="7" t="str">
        <f>IF(MasterARReport[[#This Row],[Outstanding Amount]]=0, "PAID", "PENDING")</f>
        <v>PENDING</v>
      </c>
    </row>
    <row r="110" spans="1:14" x14ac:dyDescent="0.3">
      <c r="A110" s="20">
        <v>109</v>
      </c>
      <c r="B110" s="20" t="s">
        <v>358</v>
      </c>
      <c r="C110" s="21">
        <v>46104</v>
      </c>
      <c r="D110" s="22" t="s">
        <v>398</v>
      </c>
      <c r="E110" s="22" t="s">
        <v>399</v>
      </c>
      <c r="F110" s="23">
        <v>1329</v>
      </c>
      <c r="G110" s="24">
        <v>46129</v>
      </c>
      <c r="H110" s="25">
        <v>0</v>
      </c>
      <c r="I110" s="25">
        <f t="shared" si="4"/>
        <v>1329</v>
      </c>
      <c r="J110" s="22">
        <f t="shared" ca="1" si="5"/>
        <v>44</v>
      </c>
      <c r="K110" s="22" t="str">
        <f t="shared" ca="1" si="6"/>
        <v>31-60 Days</v>
      </c>
      <c r="L110" s="22" t="str">
        <f t="shared" ca="1" si="7"/>
        <v>Low-Medium</v>
      </c>
      <c r="M110" s="22" t="s">
        <v>395</v>
      </c>
      <c r="N110" s="7" t="str">
        <f>IF(MasterARReport[[#This Row],[Outstanding Amount]]=0, "PAID", "PENDING")</f>
        <v>PENDING</v>
      </c>
    </row>
    <row r="111" spans="1:14" x14ac:dyDescent="0.3">
      <c r="A111" s="1">
        <v>110</v>
      </c>
      <c r="B111" s="1" t="s">
        <v>358</v>
      </c>
      <c r="C111" s="2">
        <v>46087</v>
      </c>
      <c r="D111" s="3" t="s">
        <v>400</v>
      </c>
      <c r="E111" s="3" t="s">
        <v>401</v>
      </c>
      <c r="F111" s="4">
        <v>1427</v>
      </c>
      <c r="G111" s="5">
        <v>46112</v>
      </c>
      <c r="H111" s="6">
        <v>0</v>
      </c>
      <c r="I111" s="6">
        <f t="shared" si="4"/>
        <v>1427</v>
      </c>
      <c r="J111" s="3">
        <f t="shared" ca="1" si="5"/>
        <v>61</v>
      </c>
      <c r="K111" s="3" t="str">
        <f t="shared" ca="1" si="6"/>
        <v>61-90 Days</v>
      </c>
      <c r="L111" s="3" t="str">
        <f t="shared" ca="1" si="7"/>
        <v>Medium</v>
      </c>
      <c r="M111" s="3" t="s">
        <v>395</v>
      </c>
      <c r="N111" s="7" t="str">
        <f>IF(MasterARReport[[#This Row],[Outstanding Amount]]=0, "PAID", "PENDING")</f>
        <v>PENDING</v>
      </c>
    </row>
    <row r="112" spans="1:14" x14ac:dyDescent="0.3">
      <c r="A112" s="20">
        <v>111</v>
      </c>
      <c r="B112" s="20" t="s">
        <v>358</v>
      </c>
      <c r="C112" s="21">
        <v>46098</v>
      </c>
      <c r="D112" s="22" t="s">
        <v>402</v>
      </c>
      <c r="E112" s="22" t="s">
        <v>403</v>
      </c>
      <c r="F112" s="23">
        <v>75814</v>
      </c>
      <c r="G112" s="24">
        <v>46123</v>
      </c>
      <c r="H112" s="25">
        <v>0</v>
      </c>
      <c r="I112" s="25">
        <f t="shared" si="4"/>
        <v>75814</v>
      </c>
      <c r="J112" s="22">
        <f t="shared" ca="1" si="5"/>
        <v>50</v>
      </c>
      <c r="K112" s="22" t="str">
        <f t="shared" ca="1" si="6"/>
        <v>31-60 Days</v>
      </c>
      <c r="L112" s="22" t="str">
        <f t="shared" ca="1" si="7"/>
        <v>Low-Medium</v>
      </c>
      <c r="M112" s="62" t="s">
        <v>404</v>
      </c>
      <c r="N112" s="7" t="str">
        <f>IF(MasterARReport[[#This Row],[Outstanding Amount]]=0, "PAID", "PENDING")</f>
        <v>PENDING</v>
      </c>
    </row>
    <row r="113" spans="1:14" x14ac:dyDescent="0.3">
      <c r="A113" s="1">
        <v>112</v>
      </c>
      <c r="B113" s="1" t="s">
        <v>358</v>
      </c>
      <c r="C113" s="2">
        <v>46112</v>
      </c>
      <c r="D113" s="3" t="s">
        <v>405</v>
      </c>
      <c r="E113" s="3" t="s">
        <v>403</v>
      </c>
      <c r="F113" s="4">
        <v>500</v>
      </c>
      <c r="G113" s="5">
        <v>46137</v>
      </c>
      <c r="H113" s="6">
        <v>0</v>
      </c>
      <c r="I113" s="6">
        <f t="shared" si="4"/>
        <v>500</v>
      </c>
      <c r="J113" s="3">
        <f t="shared" ca="1" si="5"/>
        <v>36</v>
      </c>
      <c r="K113" s="3" t="str">
        <f t="shared" ca="1" si="6"/>
        <v>31-60 Days</v>
      </c>
      <c r="L113" s="3" t="str">
        <f t="shared" ca="1" si="7"/>
        <v>Low-Medium</v>
      </c>
      <c r="M113" s="3"/>
      <c r="N113" s="7" t="str">
        <f>IF(MasterARReport[[#This Row],[Outstanding Amount]]=0, "PAID", "PENDING")</f>
        <v>PENDING</v>
      </c>
    </row>
    <row r="114" spans="1:14" x14ac:dyDescent="0.3">
      <c r="A114" s="56">
        <v>113</v>
      </c>
      <c r="B114" s="56" t="s">
        <v>358</v>
      </c>
      <c r="C114" s="57">
        <v>46151</v>
      </c>
      <c r="D114" s="58" t="s">
        <v>406</v>
      </c>
      <c r="E114" s="58" t="s">
        <v>403</v>
      </c>
      <c r="F114" s="59">
        <v>57397</v>
      </c>
      <c r="G114" s="60">
        <v>46176</v>
      </c>
      <c r="H114" s="61">
        <v>0</v>
      </c>
      <c r="I114" s="61">
        <f t="shared" si="4"/>
        <v>57397</v>
      </c>
      <c r="J114" s="58">
        <f t="shared" ca="1" si="5"/>
        <v>0</v>
      </c>
      <c r="K114" s="58" t="str">
        <f t="shared" ca="1" si="6"/>
        <v>0-30 Days</v>
      </c>
      <c r="L114" s="58" t="str">
        <f t="shared" ca="1" si="7"/>
        <v>Low</v>
      </c>
      <c r="M114" s="58"/>
      <c r="N114" s="7" t="str">
        <f>IF(MasterARReport[[#This Row],[Outstanding Amount]]=0, "PAID", "PENDING")</f>
        <v>PENDING</v>
      </c>
    </row>
    <row r="115" spans="1:14" x14ac:dyDescent="0.3">
      <c r="A115" s="37">
        <v>114</v>
      </c>
      <c r="B115" s="37" t="s">
        <v>358</v>
      </c>
      <c r="C115" s="38">
        <v>46121</v>
      </c>
      <c r="D115" s="39" t="s">
        <v>407</v>
      </c>
      <c r="E115" s="39" t="s">
        <v>408</v>
      </c>
      <c r="F115" s="40">
        <v>500</v>
      </c>
      <c r="G115" s="41">
        <v>46146</v>
      </c>
      <c r="H115" s="42">
        <v>0</v>
      </c>
      <c r="I115" s="42">
        <f t="shared" si="4"/>
        <v>500</v>
      </c>
      <c r="J115" s="39">
        <f t="shared" ca="1" si="5"/>
        <v>27</v>
      </c>
      <c r="K115" s="39" t="str">
        <f t="shared" ca="1" si="6"/>
        <v>0-30 Days</v>
      </c>
      <c r="L115" s="39" t="str">
        <f t="shared" ca="1" si="7"/>
        <v>Low</v>
      </c>
      <c r="M115" s="39"/>
      <c r="N115" s="7" t="str">
        <f>IF(MasterARReport[[#This Row],[Outstanding Amount]]=0, "PAID", "PENDING")</f>
        <v>PENDING</v>
      </c>
    </row>
    <row r="116" spans="1:14" x14ac:dyDescent="0.3">
      <c r="A116" s="26">
        <v>115</v>
      </c>
      <c r="B116" s="26" t="s">
        <v>358</v>
      </c>
      <c r="C116" s="27">
        <v>46125</v>
      </c>
      <c r="D116" s="7" t="s">
        <v>409</v>
      </c>
      <c r="E116" s="7" t="s">
        <v>408</v>
      </c>
      <c r="F116" s="28">
        <v>500</v>
      </c>
      <c r="G116" s="29">
        <v>46150</v>
      </c>
      <c r="H116" s="30">
        <v>0</v>
      </c>
      <c r="I116" s="30">
        <f t="shared" si="4"/>
        <v>500</v>
      </c>
      <c r="J116" s="7">
        <f t="shared" ca="1" si="5"/>
        <v>23</v>
      </c>
      <c r="K116" s="7" t="str">
        <f t="shared" ca="1" si="6"/>
        <v>0-30 Days</v>
      </c>
      <c r="L116" s="7" t="str">
        <f t="shared" ca="1" si="7"/>
        <v>Low</v>
      </c>
      <c r="M116" s="7"/>
      <c r="N116" s="7" t="str">
        <f>IF(MasterARReport[[#This Row],[Outstanding Amount]]=0, "PAID", "PENDING")</f>
        <v>PENDING</v>
      </c>
    </row>
    <row r="117" spans="1:14" x14ac:dyDescent="0.3">
      <c r="A117" s="37">
        <v>116</v>
      </c>
      <c r="B117" s="37" t="s">
        <v>358</v>
      </c>
      <c r="C117" s="38">
        <v>46130</v>
      </c>
      <c r="D117" s="39" t="s">
        <v>410</v>
      </c>
      <c r="E117" s="39" t="s">
        <v>408</v>
      </c>
      <c r="F117" s="40">
        <v>39730</v>
      </c>
      <c r="G117" s="41">
        <v>46155</v>
      </c>
      <c r="H117" s="42">
        <v>0</v>
      </c>
      <c r="I117" s="42">
        <f t="shared" si="4"/>
        <v>39730</v>
      </c>
      <c r="J117" s="39">
        <f t="shared" ca="1" si="5"/>
        <v>18</v>
      </c>
      <c r="K117" s="39" t="str">
        <f t="shared" ca="1" si="6"/>
        <v>0-30 Days</v>
      </c>
      <c r="L117" s="39" t="str">
        <f t="shared" ca="1" si="7"/>
        <v>Low</v>
      </c>
      <c r="M117" s="39"/>
      <c r="N117" s="7" t="str">
        <f>IF(MasterARReport[[#This Row],[Outstanding Amount]]=0, "PAID", "PENDING")</f>
        <v>PENDING</v>
      </c>
    </row>
    <row r="118" spans="1:14" x14ac:dyDescent="0.3">
      <c r="A118" s="8">
        <v>117</v>
      </c>
      <c r="B118" s="8" t="s">
        <v>358</v>
      </c>
      <c r="C118" s="9">
        <v>46015</v>
      </c>
      <c r="D118" s="10" t="s">
        <v>411</v>
      </c>
      <c r="E118" s="10" t="s">
        <v>412</v>
      </c>
      <c r="F118" s="11">
        <v>15000</v>
      </c>
      <c r="G118" s="12">
        <v>46040</v>
      </c>
      <c r="H118" s="13">
        <v>15000</v>
      </c>
      <c r="I118" s="13">
        <f t="shared" si="4"/>
        <v>0</v>
      </c>
      <c r="J118" s="10">
        <f t="shared" ca="1" si="5"/>
        <v>133</v>
      </c>
      <c r="K118" s="10" t="str">
        <f t="shared" si="6"/>
        <v>Current</v>
      </c>
      <c r="L118" s="10" t="str">
        <f t="shared" si="7"/>
        <v>-</v>
      </c>
      <c r="M118" s="10" t="s">
        <v>413</v>
      </c>
      <c r="N118" s="7" t="str">
        <f>IF(MasterARReport[[#This Row],[Outstanding Amount]]=0, "PAID", "PENDING")</f>
        <v>PAID</v>
      </c>
    </row>
    <row r="119" spans="1:14" x14ac:dyDescent="0.3">
      <c r="A119" s="31">
        <v>118</v>
      </c>
      <c r="B119" s="31" t="s">
        <v>358</v>
      </c>
      <c r="C119" s="32">
        <v>46042</v>
      </c>
      <c r="D119" s="33" t="s">
        <v>414</v>
      </c>
      <c r="E119" s="33" t="s">
        <v>412</v>
      </c>
      <c r="F119" s="34">
        <v>400</v>
      </c>
      <c r="G119" s="35">
        <v>46067</v>
      </c>
      <c r="H119" s="36">
        <v>0</v>
      </c>
      <c r="I119" s="36">
        <f t="shared" si="4"/>
        <v>400</v>
      </c>
      <c r="J119" s="33">
        <f t="shared" ca="1" si="5"/>
        <v>106</v>
      </c>
      <c r="K119" s="33" t="str">
        <f t="shared" ca="1" si="6"/>
        <v>90+ Days</v>
      </c>
      <c r="L119" s="33" t="str">
        <f t="shared" ca="1" si="7"/>
        <v>HIGH RISK</v>
      </c>
      <c r="M119" s="33" t="s">
        <v>415</v>
      </c>
      <c r="N119" s="7" t="str">
        <f>IF(MasterARReport[[#This Row],[Outstanding Amount]]=0, "PAID", "PENDING")</f>
        <v>PENDING</v>
      </c>
    </row>
    <row r="120" spans="1:14" x14ac:dyDescent="0.3">
      <c r="A120" s="20">
        <v>119</v>
      </c>
      <c r="B120" s="20" t="s">
        <v>358</v>
      </c>
      <c r="C120" s="21">
        <v>46084</v>
      </c>
      <c r="D120" s="22" t="s">
        <v>416</v>
      </c>
      <c r="E120" s="22" t="s">
        <v>417</v>
      </c>
      <c r="F120" s="23">
        <v>26307</v>
      </c>
      <c r="G120" s="24">
        <v>46109</v>
      </c>
      <c r="H120" s="25">
        <v>0</v>
      </c>
      <c r="I120" s="25">
        <f t="shared" si="4"/>
        <v>26307</v>
      </c>
      <c r="J120" s="22">
        <f t="shared" ca="1" si="5"/>
        <v>64</v>
      </c>
      <c r="K120" s="22" t="str">
        <f t="shared" ca="1" si="6"/>
        <v>61-90 Days</v>
      </c>
      <c r="L120" s="22" t="str">
        <f t="shared" ca="1" si="7"/>
        <v>Medium</v>
      </c>
      <c r="M120" s="22" t="s">
        <v>59</v>
      </c>
      <c r="N120" s="7" t="str">
        <f>IF(MasterARReport[[#This Row],[Outstanding Amount]]=0, "PAID", "PENDING")</f>
        <v>PENDING</v>
      </c>
    </row>
    <row r="121" spans="1:14" x14ac:dyDescent="0.3">
      <c r="A121" s="1">
        <v>120</v>
      </c>
      <c r="B121" s="1" t="s">
        <v>358</v>
      </c>
      <c r="C121" s="2">
        <v>46109</v>
      </c>
      <c r="D121" s="3" t="s">
        <v>418</v>
      </c>
      <c r="E121" s="3" t="s">
        <v>417</v>
      </c>
      <c r="F121" s="4">
        <v>20526</v>
      </c>
      <c r="G121" s="5">
        <v>46134</v>
      </c>
      <c r="H121" s="6">
        <v>20526</v>
      </c>
      <c r="I121" s="6">
        <f t="shared" si="4"/>
        <v>0</v>
      </c>
      <c r="J121" s="3">
        <f t="shared" ca="1" si="5"/>
        <v>39</v>
      </c>
      <c r="K121" s="3" t="str">
        <f t="shared" si="6"/>
        <v>Current</v>
      </c>
      <c r="L121" s="3" t="str">
        <f t="shared" si="7"/>
        <v>-</v>
      </c>
      <c r="M121" s="3" t="s">
        <v>389</v>
      </c>
      <c r="N121" s="7" t="str">
        <f>IF(MasterARReport[[#This Row],[Outstanding Amount]]=0, "PAID", "PENDING")</f>
        <v>PAID</v>
      </c>
    </row>
    <row r="122" spans="1:14" x14ac:dyDescent="0.3">
      <c r="A122" s="26">
        <v>121</v>
      </c>
      <c r="B122" s="26" t="s">
        <v>358</v>
      </c>
      <c r="C122" s="27">
        <v>46128</v>
      </c>
      <c r="D122" s="7" t="s">
        <v>419</v>
      </c>
      <c r="E122" s="7" t="s">
        <v>420</v>
      </c>
      <c r="F122" s="28">
        <v>25530</v>
      </c>
      <c r="G122" s="29">
        <v>46153</v>
      </c>
      <c r="H122" s="30">
        <v>0</v>
      </c>
      <c r="I122" s="30">
        <f t="shared" si="4"/>
        <v>25530</v>
      </c>
      <c r="J122" s="7">
        <f t="shared" ca="1" si="5"/>
        <v>20</v>
      </c>
      <c r="K122" s="7" t="str">
        <f t="shared" ca="1" si="6"/>
        <v>0-30 Days</v>
      </c>
      <c r="L122" s="7" t="str">
        <f t="shared" ca="1" si="7"/>
        <v>Low</v>
      </c>
      <c r="M122" s="7"/>
      <c r="N122" s="7" t="str">
        <f>IF(MasterARReport[[#This Row],[Outstanding Amount]]=0, "PAID", "PENDING")</f>
        <v>PENDING</v>
      </c>
    </row>
    <row r="123" spans="1:14" x14ac:dyDescent="0.3">
      <c r="A123" s="31">
        <v>122</v>
      </c>
      <c r="B123" s="31" t="s">
        <v>358</v>
      </c>
      <c r="C123" s="32">
        <v>45770</v>
      </c>
      <c r="D123" s="33" t="s">
        <v>421</v>
      </c>
      <c r="E123" s="33" t="s">
        <v>422</v>
      </c>
      <c r="F123" s="34">
        <v>613.15</v>
      </c>
      <c r="G123" s="35">
        <v>45795</v>
      </c>
      <c r="H123" s="36">
        <v>0</v>
      </c>
      <c r="I123" s="36">
        <f t="shared" si="4"/>
        <v>613.15</v>
      </c>
      <c r="J123" s="33">
        <f t="shared" ca="1" si="5"/>
        <v>378</v>
      </c>
      <c r="K123" s="33" t="str">
        <f t="shared" ca="1" si="6"/>
        <v>90+ Days</v>
      </c>
      <c r="L123" s="33" t="str">
        <f t="shared" ca="1" si="7"/>
        <v>HIGH RISK</v>
      </c>
      <c r="M123" s="33" t="s">
        <v>423</v>
      </c>
      <c r="N123" s="7" t="str">
        <f>IF(MasterARReport[[#This Row],[Outstanding Amount]]=0, "PAID", "PENDING")</f>
        <v>PENDING</v>
      </c>
    </row>
    <row r="124" spans="1:14" x14ac:dyDescent="0.3">
      <c r="A124" s="8">
        <v>123</v>
      </c>
      <c r="B124" s="8" t="s">
        <v>358</v>
      </c>
      <c r="C124" s="9">
        <v>45836</v>
      </c>
      <c r="D124" s="10" t="s">
        <v>424</v>
      </c>
      <c r="E124" s="10" t="s">
        <v>422</v>
      </c>
      <c r="F124" s="11">
        <v>83953</v>
      </c>
      <c r="G124" s="12">
        <v>45861</v>
      </c>
      <c r="H124" s="13">
        <v>0</v>
      </c>
      <c r="I124" s="13">
        <f t="shared" si="4"/>
        <v>83953</v>
      </c>
      <c r="J124" s="10">
        <f t="shared" ca="1" si="5"/>
        <v>312</v>
      </c>
      <c r="K124" s="10" t="str">
        <f t="shared" ca="1" si="6"/>
        <v>90+ Days</v>
      </c>
      <c r="L124" s="10" t="str">
        <f t="shared" ca="1" si="7"/>
        <v>HIGH RISK</v>
      </c>
      <c r="M124" s="10" t="str">
        <f t="shared" ref="M124:M136" si="8">M123</f>
        <v>Supplier</v>
      </c>
      <c r="N124" s="7" t="str">
        <f>IF(MasterARReport[[#This Row],[Outstanding Amount]]=0, "PAID", "PENDING")</f>
        <v>PENDING</v>
      </c>
    </row>
    <row r="125" spans="1:14" x14ac:dyDescent="0.3">
      <c r="A125" s="31">
        <v>124</v>
      </c>
      <c r="B125" s="31" t="s">
        <v>358</v>
      </c>
      <c r="C125" s="32">
        <v>45838</v>
      </c>
      <c r="D125" s="33" t="s">
        <v>425</v>
      </c>
      <c r="E125" s="33" t="s">
        <v>422</v>
      </c>
      <c r="F125" s="34">
        <v>136289</v>
      </c>
      <c r="G125" s="35">
        <v>45863</v>
      </c>
      <c r="H125" s="36">
        <v>0</v>
      </c>
      <c r="I125" s="36">
        <f t="shared" si="4"/>
        <v>136289</v>
      </c>
      <c r="J125" s="33">
        <f t="shared" ca="1" si="5"/>
        <v>310</v>
      </c>
      <c r="K125" s="33" t="str">
        <f t="shared" ca="1" si="6"/>
        <v>90+ Days</v>
      </c>
      <c r="L125" s="33" t="str">
        <f t="shared" ca="1" si="7"/>
        <v>HIGH RISK</v>
      </c>
      <c r="M125" s="33" t="str">
        <f t="shared" si="8"/>
        <v>Supplier</v>
      </c>
      <c r="N125" s="7" t="str">
        <f>IF(MasterARReport[[#This Row],[Outstanding Amount]]=0, "PAID", "PENDING")</f>
        <v>PENDING</v>
      </c>
    </row>
    <row r="126" spans="1:14" x14ac:dyDescent="0.3">
      <c r="A126" s="8">
        <v>125</v>
      </c>
      <c r="B126" s="8" t="s">
        <v>358</v>
      </c>
      <c r="C126" s="9">
        <v>45849</v>
      </c>
      <c r="D126" s="10" t="s">
        <v>426</v>
      </c>
      <c r="E126" s="10" t="s">
        <v>422</v>
      </c>
      <c r="F126" s="11">
        <v>97996</v>
      </c>
      <c r="G126" s="12">
        <v>45874</v>
      </c>
      <c r="H126" s="13">
        <v>0</v>
      </c>
      <c r="I126" s="13">
        <f t="shared" si="4"/>
        <v>97996</v>
      </c>
      <c r="J126" s="10">
        <f t="shared" ca="1" si="5"/>
        <v>299</v>
      </c>
      <c r="K126" s="10" t="str">
        <f t="shared" ca="1" si="6"/>
        <v>90+ Days</v>
      </c>
      <c r="L126" s="10" t="str">
        <f t="shared" ca="1" si="7"/>
        <v>HIGH RISK</v>
      </c>
      <c r="M126" s="10" t="str">
        <f t="shared" si="8"/>
        <v>Supplier</v>
      </c>
      <c r="N126" s="7" t="str">
        <f>IF(MasterARReport[[#This Row],[Outstanding Amount]]=0, "PAID", "PENDING")</f>
        <v>PENDING</v>
      </c>
    </row>
    <row r="127" spans="1:14" x14ac:dyDescent="0.3">
      <c r="A127" s="31">
        <v>126</v>
      </c>
      <c r="B127" s="31" t="s">
        <v>358</v>
      </c>
      <c r="C127" s="32">
        <v>45890</v>
      </c>
      <c r="D127" s="33" t="s">
        <v>427</v>
      </c>
      <c r="E127" s="33" t="s">
        <v>422</v>
      </c>
      <c r="F127" s="34">
        <v>37146</v>
      </c>
      <c r="G127" s="35">
        <v>45915</v>
      </c>
      <c r="H127" s="36">
        <v>0</v>
      </c>
      <c r="I127" s="36">
        <f t="shared" si="4"/>
        <v>37146</v>
      </c>
      <c r="J127" s="33">
        <f t="shared" ca="1" si="5"/>
        <v>258</v>
      </c>
      <c r="K127" s="33" t="str">
        <f t="shared" ca="1" si="6"/>
        <v>90+ Days</v>
      </c>
      <c r="L127" s="33" t="str">
        <f t="shared" ca="1" si="7"/>
        <v>HIGH RISK</v>
      </c>
      <c r="M127" s="33" t="str">
        <f t="shared" si="8"/>
        <v>Supplier</v>
      </c>
      <c r="N127" s="7" t="str">
        <f>IF(MasterARReport[[#This Row],[Outstanding Amount]]=0, "PAID", "PENDING")</f>
        <v>PENDING</v>
      </c>
    </row>
    <row r="128" spans="1:14" x14ac:dyDescent="0.3">
      <c r="A128" s="8">
        <v>127</v>
      </c>
      <c r="B128" s="8" t="s">
        <v>358</v>
      </c>
      <c r="C128" s="9">
        <v>45905</v>
      </c>
      <c r="D128" s="10" t="s">
        <v>428</v>
      </c>
      <c r="E128" s="10" t="s">
        <v>422</v>
      </c>
      <c r="F128" s="11">
        <v>248440</v>
      </c>
      <c r="G128" s="12">
        <v>45930</v>
      </c>
      <c r="H128" s="13">
        <v>0</v>
      </c>
      <c r="I128" s="13">
        <f t="shared" si="4"/>
        <v>248440</v>
      </c>
      <c r="J128" s="10">
        <f t="shared" ca="1" si="5"/>
        <v>243</v>
      </c>
      <c r="K128" s="10" t="str">
        <f t="shared" ca="1" si="6"/>
        <v>90+ Days</v>
      </c>
      <c r="L128" s="10" t="str">
        <f t="shared" ca="1" si="7"/>
        <v>HIGH RISK</v>
      </c>
      <c r="M128" s="10" t="str">
        <f t="shared" si="8"/>
        <v>Supplier</v>
      </c>
      <c r="N128" s="7" t="str">
        <f>IF(MasterARReport[[#This Row],[Outstanding Amount]]=0, "PAID", "PENDING")</f>
        <v>PENDING</v>
      </c>
    </row>
    <row r="129" spans="1:14" x14ac:dyDescent="0.3">
      <c r="A129" s="31">
        <v>128</v>
      </c>
      <c r="B129" s="31" t="s">
        <v>358</v>
      </c>
      <c r="C129" s="32">
        <v>45918</v>
      </c>
      <c r="D129" s="33" t="s">
        <v>429</v>
      </c>
      <c r="E129" s="33" t="s">
        <v>422</v>
      </c>
      <c r="F129" s="34">
        <v>143307</v>
      </c>
      <c r="G129" s="35">
        <v>45943</v>
      </c>
      <c r="H129" s="36">
        <v>0</v>
      </c>
      <c r="I129" s="36">
        <f t="shared" si="4"/>
        <v>143307</v>
      </c>
      <c r="J129" s="33">
        <f t="shared" ca="1" si="5"/>
        <v>230</v>
      </c>
      <c r="K129" s="33" t="str">
        <f t="shared" ca="1" si="6"/>
        <v>90+ Days</v>
      </c>
      <c r="L129" s="33" t="str">
        <f t="shared" ca="1" si="7"/>
        <v>HIGH RISK</v>
      </c>
      <c r="M129" s="33" t="str">
        <f t="shared" si="8"/>
        <v>Supplier</v>
      </c>
      <c r="N129" s="7" t="str">
        <f>IF(MasterARReport[[#This Row],[Outstanding Amount]]=0, "PAID", "PENDING")</f>
        <v>PENDING</v>
      </c>
    </row>
    <row r="130" spans="1:14" x14ac:dyDescent="0.3">
      <c r="A130" s="8">
        <v>129</v>
      </c>
      <c r="B130" s="8" t="s">
        <v>358</v>
      </c>
      <c r="C130" s="9">
        <v>45927</v>
      </c>
      <c r="D130" s="10" t="s">
        <v>430</v>
      </c>
      <c r="E130" s="10" t="s">
        <v>422</v>
      </c>
      <c r="F130" s="11">
        <v>19200</v>
      </c>
      <c r="G130" s="12">
        <v>45952</v>
      </c>
      <c r="H130" s="13">
        <v>0</v>
      </c>
      <c r="I130" s="13">
        <f t="shared" ref="I130:I193" si="9">MAX(0,F130-H130)</f>
        <v>19200</v>
      </c>
      <c r="J130" s="10">
        <f t="shared" ref="J130:J193" ca="1" si="10">IF(G130="",0,MAX(0,TODAY()-G130))</f>
        <v>221</v>
      </c>
      <c r="K130" s="10" t="str">
        <f t="shared" ref="K130:K193" ca="1" si="11">IF(I130&lt;=0,"Current",IF(J130&lt;=30,"0-30 Days",IF(J130&lt;=60,"31-60 Days",IF(J130&lt;=90,"61-90 Days","90+ Days"))))</f>
        <v>90+ Days</v>
      </c>
      <c r="L130" s="10" t="str">
        <f t="shared" ref="L130:L193" ca="1" si="12">IF(I130&lt;=0,"-",IF(J130&lt;=30,"Low",IF(J130&lt;=60,"Low-Medium",IF(J130&lt;=90,"Medium","HIGH RISK"))))</f>
        <v>HIGH RISK</v>
      </c>
      <c r="M130" s="10" t="str">
        <f t="shared" si="8"/>
        <v>Supplier</v>
      </c>
      <c r="N130" s="7" t="str">
        <f>IF(MasterARReport[[#This Row],[Outstanding Amount]]=0, "PAID", "PENDING")</f>
        <v>PENDING</v>
      </c>
    </row>
    <row r="131" spans="1:14" x14ac:dyDescent="0.3">
      <c r="A131" s="31">
        <v>130</v>
      </c>
      <c r="B131" s="31" t="s">
        <v>358</v>
      </c>
      <c r="C131" s="32">
        <v>45955</v>
      </c>
      <c r="D131" s="33" t="s">
        <v>431</v>
      </c>
      <c r="E131" s="33" t="s">
        <v>422</v>
      </c>
      <c r="F131" s="34">
        <v>163657</v>
      </c>
      <c r="G131" s="35">
        <v>45980</v>
      </c>
      <c r="H131" s="36">
        <v>0</v>
      </c>
      <c r="I131" s="36">
        <f t="shared" si="9"/>
        <v>163657</v>
      </c>
      <c r="J131" s="33">
        <f t="shared" ca="1" si="10"/>
        <v>193</v>
      </c>
      <c r="K131" s="33" t="str">
        <f t="shared" ca="1" si="11"/>
        <v>90+ Days</v>
      </c>
      <c r="L131" s="33" t="str">
        <f t="shared" ca="1" si="12"/>
        <v>HIGH RISK</v>
      </c>
      <c r="M131" s="33" t="str">
        <f t="shared" si="8"/>
        <v>Supplier</v>
      </c>
      <c r="N131" s="7" t="str">
        <f>IF(MasterARReport[[#This Row],[Outstanding Amount]]=0, "PAID", "PENDING")</f>
        <v>PENDING</v>
      </c>
    </row>
    <row r="132" spans="1:14" x14ac:dyDescent="0.3">
      <c r="A132" s="8">
        <v>131</v>
      </c>
      <c r="B132" s="8" t="s">
        <v>358</v>
      </c>
      <c r="C132" s="9">
        <v>45978</v>
      </c>
      <c r="D132" s="10" t="s">
        <v>432</v>
      </c>
      <c r="E132" s="10" t="s">
        <v>422</v>
      </c>
      <c r="F132" s="11">
        <v>5143</v>
      </c>
      <c r="G132" s="12">
        <v>46003</v>
      </c>
      <c r="H132" s="13">
        <v>0</v>
      </c>
      <c r="I132" s="13">
        <f t="shared" si="9"/>
        <v>5143</v>
      </c>
      <c r="J132" s="10">
        <f t="shared" ca="1" si="10"/>
        <v>170</v>
      </c>
      <c r="K132" s="10" t="str">
        <f t="shared" ca="1" si="11"/>
        <v>90+ Days</v>
      </c>
      <c r="L132" s="10" t="str">
        <f t="shared" ca="1" si="12"/>
        <v>HIGH RISK</v>
      </c>
      <c r="M132" s="10" t="str">
        <f t="shared" si="8"/>
        <v>Supplier</v>
      </c>
      <c r="N132" s="7" t="str">
        <f>IF(MasterARReport[[#This Row],[Outstanding Amount]]=0, "PAID", "PENDING")</f>
        <v>PENDING</v>
      </c>
    </row>
    <row r="133" spans="1:14" x14ac:dyDescent="0.3">
      <c r="A133" s="31">
        <v>132</v>
      </c>
      <c r="B133" s="31" t="s">
        <v>358</v>
      </c>
      <c r="C133" s="32">
        <v>46022</v>
      </c>
      <c r="D133" s="33" t="s">
        <v>433</v>
      </c>
      <c r="E133" s="33" t="s">
        <v>422</v>
      </c>
      <c r="F133" s="34">
        <v>105970.48</v>
      </c>
      <c r="G133" s="35">
        <v>46047</v>
      </c>
      <c r="H133" s="36">
        <v>0</v>
      </c>
      <c r="I133" s="36">
        <f t="shared" si="9"/>
        <v>105970.48</v>
      </c>
      <c r="J133" s="33">
        <f t="shared" ca="1" si="10"/>
        <v>126</v>
      </c>
      <c r="K133" s="33" t="str">
        <f t="shared" ca="1" si="11"/>
        <v>90+ Days</v>
      </c>
      <c r="L133" s="33" t="str">
        <f t="shared" ca="1" si="12"/>
        <v>HIGH RISK</v>
      </c>
      <c r="M133" s="33" t="str">
        <f t="shared" si="8"/>
        <v>Supplier</v>
      </c>
      <c r="N133" s="7" t="str">
        <f>IF(MasterARReport[[#This Row],[Outstanding Amount]]=0, "PAID", "PENDING")</f>
        <v>PENDING</v>
      </c>
    </row>
    <row r="134" spans="1:14" x14ac:dyDescent="0.3">
      <c r="A134" s="8">
        <v>133</v>
      </c>
      <c r="B134" s="8" t="s">
        <v>358</v>
      </c>
      <c r="C134" s="9">
        <v>46025</v>
      </c>
      <c r="D134" s="10" t="s">
        <v>434</v>
      </c>
      <c r="E134" s="10" t="s">
        <v>422</v>
      </c>
      <c r="F134" s="11">
        <v>53447.25</v>
      </c>
      <c r="G134" s="12">
        <v>46050</v>
      </c>
      <c r="H134" s="13">
        <v>0</v>
      </c>
      <c r="I134" s="13">
        <f t="shared" si="9"/>
        <v>53447.25</v>
      </c>
      <c r="J134" s="10">
        <f t="shared" ca="1" si="10"/>
        <v>123</v>
      </c>
      <c r="K134" s="10" t="str">
        <f t="shared" ca="1" si="11"/>
        <v>90+ Days</v>
      </c>
      <c r="L134" s="10" t="str">
        <f t="shared" ca="1" si="12"/>
        <v>HIGH RISK</v>
      </c>
      <c r="M134" s="10" t="str">
        <f t="shared" si="8"/>
        <v>Supplier</v>
      </c>
      <c r="N134" s="7" t="str">
        <f>IF(MasterARReport[[#This Row],[Outstanding Amount]]=0, "PAID", "PENDING")</f>
        <v>PENDING</v>
      </c>
    </row>
    <row r="135" spans="1:14" x14ac:dyDescent="0.3">
      <c r="A135" s="14">
        <v>134</v>
      </c>
      <c r="B135" s="14" t="s">
        <v>358</v>
      </c>
      <c r="C135" s="15">
        <v>46053</v>
      </c>
      <c r="D135" s="16" t="s">
        <v>435</v>
      </c>
      <c r="E135" s="16" t="s">
        <v>422</v>
      </c>
      <c r="F135" s="17">
        <v>155010</v>
      </c>
      <c r="G135" s="18">
        <v>46078</v>
      </c>
      <c r="H135" s="19">
        <v>0</v>
      </c>
      <c r="I135" s="19">
        <f t="shared" si="9"/>
        <v>155010</v>
      </c>
      <c r="J135" s="16">
        <f t="shared" ca="1" si="10"/>
        <v>95</v>
      </c>
      <c r="K135" s="16" t="str">
        <f t="shared" ca="1" si="11"/>
        <v>90+ Days</v>
      </c>
      <c r="L135" s="16" t="str">
        <f t="shared" ca="1" si="12"/>
        <v>HIGH RISK</v>
      </c>
      <c r="M135" s="16" t="str">
        <f t="shared" si="8"/>
        <v>Supplier</v>
      </c>
      <c r="N135" s="7" t="str">
        <f>IF(MasterARReport[[#This Row],[Outstanding Amount]]=0, "PAID", "PENDING")</f>
        <v>PENDING</v>
      </c>
    </row>
    <row r="136" spans="1:14" x14ac:dyDescent="0.3">
      <c r="A136" s="26">
        <v>135</v>
      </c>
      <c r="B136" s="26" t="s">
        <v>358</v>
      </c>
      <c r="C136" s="27">
        <v>46122</v>
      </c>
      <c r="D136" s="7" t="s">
        <v>436</v>
      </c>
      <c r="E136" s="7" t="s">
        <v>422</v>
      </c>
      <c r="F136" s="28">
        <v>93732</v>
      </c>
      <c r="G136" s="29">
        <v>46147</v>
      </c>
      <c r="H136" s="30">
        <v>0</v>
      </c>
      <c r="I136" s="30">
        <f t="shared" si="9"/>
        <v>93732</v>
      </c>
      <c r="J136" s="7">
        <f t="shared" ca="1" si="10"/>
        <v>26</v>
      </c>
      <c r="K136" s="7" t="str">
        <f t="shared" ca="1" si="11"/>
        <v>0-30 Days</v>
      </c>
      <c r="L136" s="7" t="str">
        <f t="shared" ca="1" si="12"/>
        <v>Low</v>
      </c>
      <c r="M136" s="7" t="str">
        <f t="shared" si="8"/>
        <v>Supplier</v>
      </c>
      <c r="N136" s="7" t="str">
        <f>IF(MasterARReport[[#This Row],[Outstanding Amount]]=0, "PAID", "PENDING")</f>
        <v>PENDING</v>
      </c>
    </row>
    <row r="137" spans="1:14" x14ac:dyDescent="0.3">
      <c r="A137" s="56">
        <v>136</v>
      </c>
      <c r="B137" s="56" t="s">
        <v>358</v>
      </c>
      <c r="C137" s="57">
        <v>46156</v>
      </c>
      <c r="D137" s="58" t="s">
        <v>437</v>
      </c>
      <c r="E137" s="58" t="s">
        <v>422</v>
      </c>
      <c r="F137" s="59">
        <v>43847</v>
      </c>
      <c r="G137" s="60">
        <v>46181</v>
      </c>
      <c r="H137" s="61">
        <v>0</v>
      </c>
      <c r="I137" s="61">
        <f t="shared" si="9"/>
        <v>43847</v>
      </c>
      <c r="J137" s="58">
        <f t="shared" ca="1" si="10"/>
        <v>0</v>
      </c>
      <c r="K137" s="58" t="str">
        <f t="shared" ca="1" si="11"/>
        <v>0-30 Days</v>
      </c>
      <c r="L137" s="58" t="str">
        <f t="shared" ca="1" si="12"/>
        <v>Low</v>
      </c>
      <c r="M137" s="58"/>
      <c r="N137" s="7" t="str">
        <f>IF(MasterARReport[[#This Row],[Outstanding Amount]]=0, "PAID", "PENDING")</f>
        <v>PENDING</v>
      </c>
    </row>
    <row r="138" spans="1:14" x14ac:dyDescent="0.3">
      <c r="A138" s="8">
        <v>137</v>
      </c>
      <c r="B138" s="8" t="s">
        <v>358</v>
      </c>
      <c r="C138" s="9">
        <v>46031</v>
      </c>
      <c r="D138" s="10" t="s">
        <v>438</v>
      </c>
      <c r="E138" s="10" t="s">
        <v>439</v>
      </c>
      <c r="F138" s="11">
        <v>5</v>
      </c>
      <c r="G138" s="12">
        <v>46056</v>
      </c>
      <c r="H138" s="13">
        <v>0</v>
      </c>
      <c r="I138" s="13">
        <f t="shared" si="9"/>
        <v>5</v>
      </c>
      <c r="J138" s="10">
        <f t="shared" ca="1" si="10"/>
        <v>117</v>
      </c>
      <c r="K138" s="10" t="str">
        <f t="shared" ca="1" si="11"/>
        <v>90+ Days</v>
      </c>
      <c r="L138" s="10" t="str">
        <f t="shared" ca="1" si="12"/>
        <v>HIGH RISK</v>
      </c>
      <c r="M138" s="10"/>
      <c r="N138" s="7" t="str">
        <f>IF(MasterARReport[[#This Row],[Outstanding Amount]]=0, "PAID", "PENDING")</f>
        <v>PENDING</v>
      </c>
    </row>
    <row r="139" spans="1:14" x14ac:dyDescent="0.3">
      <c r="A139" s="1">
        <v>138</v>
      </c>
      <c r="B139" s="1" t="s">
        <v>358</v>
      </c>
      <c r="C139" s="2">
        <v>46107</v>
      </c>
      <c r="D139" s="3" t="s">
        <v>440</v>
      </c>
      <c r="E139" s="3" t="s">
        <v>441</v>
      </c>
      <c r="F139" s="4">
        <v>82798</v>
      </c>
      <c r="G139" s="5">
        <v>46132</v>
      </c>
      <c r="H139" s="6">
        <f>[1]PAYMENTS!C31</f>
        <v>82798</v>
      </c>
      <c r="I139" s="6">
        <f t="shared" si="9"/>
        <v>0</v>
      </c>
      <c r="J139" s="3">
        <f t="shared" ca="1" si="10"/>
        <v>41</v>
      </c>
      <c r="K139" s="3" t="str">
        <f t="shared" si="11"/>
        <v>Current</v>
      </c>
      <c r="L139" s="3" t="str">
        <f t="shared" si="12"/>
        <v>-</v>
      </c>
      <c r="M139" s="3" t="str">
        <f>[1]PAYMENTS!D31</f>
        <v>Bank Transfer</v>
      </c>
      <c r="N139" s="7" t="str">
        <f>IF(MasterARReport[[#This Row],[Outstanding Amount]]=0, "PAID", "PENDING")</f>
        <v>PAID</v>
      </c>
    </row>
    <row r="140" spans="1:14" x14ac:dyDescent="0.3">
      <c r="A140" s="56">
        <v>139</v>
      </c>
      <c r="B140" s="56" t="s">
        <v>358</v>
      </c>
      <c r="C140" s="57">
        <v>46155</v>
      </c>
      <c r="D140" s="58" t="s">
        <v>442</v>
      </c>
      <c r="E140" s="58" t="s">
        <v>441</v>
      </c>
      <c r="F140" s="59">
        <v>547</v>
      </c>
      <c r="G140" s="60">
        <v>46180</v>
      </c>
      <c r="H140" s="61">
        <v>0</v>
      </c>
      <c r="I140" s="61">
        <f t="shared" si="9"/>
        <v>547</v>
      </c>
      <c r="J140" s="58">
        <f t="shared" ca="1" si="10"/>
        <v>0</v>
      </c>
      <c r="K140" s="58" t="str">
        <f t="shared" ca="1" si="11"/>
        <v>0-30 Days</v>
      </c>
      <c r="L140" s="58" t="str">
        <f t="shared" ca="1" si="12"/>
        <v>Low</v>
      </c>
      <c r="M140" s="58"/>
      <c r="N140" s="7" t="str">
        <f>IF(MasterARReport[[#This Row],[Outstanding Amount]]=0, "PAID", "PENDING")</f>
        <v>PENDING</v>
      </c>
    </row>
    <row r="141" spans="1:14" x14ac:dyDescent="0.3">
      <c r="A141" s="1">
        <v>140</v>
      </c>
      <c r="B141" s="1" t="s">
        <v>358</v>
      </c>
      <c r="C141" s="2">
        <v>46109</v>
      </c>
      <c r="D141" s="3" t="s">
        <v>443</v>
      </c>
      <c r="E141" s="3" t="s">
        <v>444</v>
      </c>
      <c r="F141" s="4">
        <v>152603</v>
      </c>
      <c r="G141" s="5">
        <v>46134</v>
      </c>
      <c r="H141" s="6">
        <v>0</v>
      </c>
      <c r="I141" s="6">
        <f t="shared" si="9"/>
        <v>152603</v>
      </c>
      <c r="J141" s="3">
        <f t="shared" ca="1" si="10"/>
        <v>39</v>
      </c>
      <c r="K141" s="3" t="str">
        <f t="shared" ca="1" si="11"/>
        <v>31-60 Days</v>
      </c>
      <c r="L141" s="3" t="str">
        <f t="shared" ca="1" si="12"/>
        <v>Low-Medium</v>
      </c>
      <c r="M141" s="3"/>
      <c r="N141" s="7" t="str">
        <f>IF(MasterARReport[[#This Row],[Outstanding Amount]]=0, "PAID", "PENDING")</f>
        <v>PENDING</v>
      </c>
    </row>
    <row r="142" spans="1:14" x14ac:dyDescent="0.3">
      <c r="A142" s="26">
        <v>141</v>
      </c>
      <c r="B142" s="26" t="s">
        <v>358</v>
      </c>
      <c r="C142" s="27">
        <v>46142</v>
      </c>
      <c r="D142" s="7" t="s">
        <v>445</v>
      </c>
      <c r="E142" s="7" t="s">
        <v>444</v>
      </c>
      <c r="F142" s="28">
        <v>136439</v>
      </c>
      <c r="G142" s="29">
        <v>46167</v>
      </c>
      <c r="H142" s="30">
        <v>0</v>
      </c>
      <c r="I142" s="30">
        <f t="shared" si="9"/>
        <v>136439</v>
      </c>
      <c r="J142" s="7">
        <f t="shared" ca="1" si="10"/>
        <v>6</v>
      </c>
      <c r="K142" s="7" t="str">
        <f t="shared" ca="1" si="11"/>
        <v>0-30 Days</v>
      </c>
      <c r="L142" s="7" t="str">
        <f t="shared" ca="1" si="12"/>
        <v>Low</v>
      </c>
      <c r="M142" s="7"/>
      <c r="N142" s="7" t="str">
        <f>IF(MasterARReport[[#This Row],[Outstanding Amount]]=0, "PAID", "PENDING")</f>
        <v>PENDING</v>
      </c>
    </row>
    <row r="143" spans="1:14" x14ac:dyDescent="0.3">
      <c r="A143" s="56">
        <v>142</v>
      </c>
      <c r="B143" s="56" t="s">
        <v>358</v>
      </c>
      <c r="C143" s="57">
        <v>46155</v>
      </c>
      <c r="D143" s="58" t="s">
        <v>446</v>
      </c>
      <c r="E143" s="58" t="s">
        <v>444</v>
      </c>
      <c r="F143" s="59">
        <v>547</v>
      </c>
      <c r="G143" s="60">
        <v>46180</v>
      </c>
      <c r="H143" s="61">
        <v>0</v>
      </c>
      <c r="I143" s="61">
        <f t="shared" si="9"/>
        <v>547</v>
      </c>
      <c r="J143" s="58">
        <f t="shared" ca="1" si="10"/>
        <v>0</v>
      </c>
      <c r="K143" s="58" t="str">
        <f t="shared" ca="1" si="11"/>
        <v>0-30 Days</v>
      </c>
      <c r="L143" s="58" t="str">
        <f t="shared" ca="1" si="12"/>
        <v>Low</v>
      </c>
      <c r="M143" s="58"/>
      <c r="N143" s="7" t="str">
        <f>IF(MasterARReport[[#This Row],[Outstanding Amount]]=0, "PAID", "PENDING")</f>
        <v>PENDING</v>
      </c>
    </row>
    <row r="144" spans="1:14" x14ac:dyDescent="0.3">
      <c r="A144" s="20">
        <v>143</v>
      </c>
      <c r="B144" s="20" t="s">
        <v>358</v>
      </c>
      <c r="C144" s="21">
        <v>46087</v>
      </c>
      <c r="D144" s="22" t="s">
        <v>447</v>
      </c>
      <c r="E144" s="22" t="s">
        <v>448</v>
      </c>
      <c r="F144" s="23">
        <v>1427</v>
      </c>
      <c r="G144" s="24">
        <v>46112</v>
      </c>
      <c r="H144" s="25">
        <v>0</v>
      </c>
      <c r="I144" s="25">
        <f t="shared" si="9"/>
        <v>1427</v>
      </c>
      <c r="J144" s="22">
        <f t="shared" ca="1" si="10"/>
        <v>61</v>
      </c>
      <c r="K144" s="22" t="str">
        <f t="shared" ca="1" si="11"/>
        <v>61-90 Days</v>
      </c>
      <c r="L144" s="22" t="str">
        <f t="shared" ca="1" si="12"/>
        <v>Medium</v>
      </c>
      <c r="M144" s="22" t="s">
        <v>449</v>
      </c>
      <c r="N144" s="7" t="str">
        <f>IF(MasterARReport[[#This Row],[Outstanding Amount]]=0, "PAID", "PENDING")</f>
        <v>PENDING</v>
      </c>
    </row>
    <row r="145" spans="1:14" x14ac:dyDescent="0.3">
      <c r="A145" s="1">
        <v>144</v>
      </c>
      <c r="B145" s="1" t="s">
        <v>358</v>
      </c>
      <c r="C145" s="2">
        <v>46104</v>
      </c>
      <c r="D145" s="3" t="s">
        <v>450</v>
      </c>
      <c r="E145" s="3" t="s">
        <v>451</v>
      </c>
      <c r="F145" s="4">
        <v>1329</v>
      </c>
      <c r="G145" s="5">
        <v>46129</v>
      </c>
      <c r="H145" s="6">
        <v>0</v>
      </c>
      <c r="I145" s="6">
        <f t="shared" si="9"/>
        <v>1329</v>
      </c>
      <c r="J145" s="3">
        <f t="shared" ca="1" si="10"/>
        <v>44</v>
      </c>
      <c r="K145" s="3" t="str">
        <f t="shared" ca="1" si="11"/>
        <v>31-60 Days</v>
      </c>
      <c r="L145" s="3" t="str">
        <f t="shared" ca="1" si="12"/>
        <v>Low-Medium</v>
      </c>
      <c r="M145" s="3" t="s">
        <v>449</v>
      </c>
      <c r="N145" s="7" t="str">
        <f>IF(MasterARReport[[#This Row],[Outstanding Amount]]=0, "PAID", "PENDING")</f>
        <v>PENDING</v>
      </c>
    </row>
    <row r="146" spans="1:14" x14ac:dyDescent="0.3">
      <c r="A146" s="26">
        <v>145</v>
      </c>
      <c r="B146" s="26" t="s">
        <v>358</v>
      </c>
      <c r="C146" s="27">
        <v>46118</v>
      </c>
      <c r="D146" s="7" t="s">
        <v>452</v>
      </c>
      <c r="E146" s="7" t="s">
        <v>453</v>
      </c>
      <c r="F146" s="28">
        <v>743012</v>
      </c>
      <c r="G146" s="29">
        <v>46143</v>
      </c>
      <c r="H146" s="30">
        <v>0</v>
      </c>
      <c r="I146" s="30">
        <f t="shared" si="9"/>
        <v>743012</v>
      </c>
      <c r="J146" s="7">
        <f t="shared" ca="1" si="10"/>
        <v>30</v>
      </c>
      <c r="K146" s="7" t="str">
        <f t="shared" ca="1" si="11"/>
        <v>0-30 Days</v>
      </c>
      <c r="L146" s="7" t="str">
        <f t="shared" ca="1" si="12"/>
        <v>Low</v>
      </c>
      <c r="M146" s="7"/>
      <c r="N146" s="7" t="str">
        <f>IF(MasterARReport[[#This Row],[Outstanding Amount]]=0, "PAID", "PENDING")</f>
        <v>PENDING</v>
      </c>
    </row>
    <row r="147" spans="1:14" x14ac:dyDescent="0.3">
      <c r="A147" s="14">
        <v>146</v>
      </c>
      <c r="B147" s="14" t="s">
        <v>358</v>
      </c>
      <c r="C147" s="15">
        <v>46059</v>
      </c>
      <c r="D147" s="16" t="s">
        <v>454</v>
      </c>
      <c r="E147" s="16" t="s">
        <v>455</v>
      </c>
      <c r="F147" s="17">
        <v>28600</v>
      </c>
      <c r="G147" s="18">
        <v>46084</v>
      </c>
      <c r="H147" s="19">
        <v>0</v>
      </c>
      <c r="I147" s="19">
        <f t="shared" si="9"/>
        <v>28600</v>
      </c>
      <c r="J147" s="16">
        <f t="shared" ca="1" si="10"/>
        <v>89</v>
      </c>
      <c r="K147" s="16" t="str">
        <f t="shared" ca="1" si="11"/>
        <v>61-90 Days</v>
      </c>
      <c r="L147" s="16" t="str">
        <f t="shared" ca="1" si="12"/>
        <v>Medium</v>
      </c>
      <c r="M147" s="16" t="s">
        <v>456</v>
      </c>
      <c r="N147" s="7" t="str">
        <f>IF(MasterARReport[[#This Row],[Outstanding Amount]]=0, "PAID", "PENDING")</f>
        <v>PENDING</v>
      </c>
    </row>
    <row r="148" spans="1:14" x14ac:dyDescent="0.3">
      <c r="A148" s="20">
        <v>147</v>
      </c>
      <c r="B148" s="20" t="s">
        <v>358</v>
      </c>
      <c r="C148" s="21">
        <v>46087</v>
      </c>
      <c r="D148" s="22" t="s">
        <v>457</v>
      </c>
      <c r="E148" s="22" t="s">
        <v>455</v>
      </c>
      <c r="F148" s="23">
        <v>26307</v>
      </c>
      <c r="G148" s="24">
        <v>46112</v>
      </c>
      <c r="H148" s="25">
        <v>0</v>
      </c>
      <c r="I148" s="25">
        <f t="shared" si="9"/>
        <v>26307</v>
      </c>
      <c r="J148" s="22">
        <f t="shared" ca="1" si="10"/>
        <v>61</v>
      </c>
      <c r="K148" s="22" t="str">
        <f t="shared" ca="1" si="11"/>
        <v>61-90 Days</v>
      </c>
      <c r="L148" s="22" t="str">
        <f t="shared" ca="1" si="12"/>
        <v>Medium</v>
      </c>
      <c r="M148" s="22" t="s">
        <v>456</v>
      </c>
      <c r="N148" s="7" t="str">
        <f>IF(MasterARReport[[#This Row],[Outstanding Amount]]=0, "PAID", "PENDING")</f>
        <v>PENDING</v>
      </c>
    </row>
    <row r="149" spans="1:14" x14ac:dyDescent="0.3">
      <c r="A149" s="1">
        <v>148</v>
      </c>
      <c r="B149" s="1" t="s">
        <v>358</v>
      </c>
      <c r="C149" s="2">
        <v>46109</v>
      </c>
      <c r="D149" s="3" t="s">
        <v>458</v>
      </c>
      <c r="E149" s="3" t="s">
        <v>455</v>
      </c>
      <c r="F149" s="4">
        <v>21129</v>
      </c>
      <c r="G149" s="5">
        <v>46134</v>
      </c>
      <c r="H149" s="6">
        <v>0</v>
      </c>
      <c r="I149" s="6">
        <f t="shared" si="9"/>
        <v>21129</v>
      </c>
      <c r="J149" s="3">
        <f t="shared" ca="1" si="10"/>
        <v>39</v>
      </c>
      <c r="K149" s="3" t="str">
        <f t="shared" ca="1" si="11"/>
        <v>31-60 Days</v>
      </c>
      <c r="L149" s="3" t="str">
        <f t="shared" ca="1" si="12"/>
        <v>Low-Medium</v>
      </c>
      <c r="M149" s="3" t="s">
        <v>456</v>
      </c>
      <c r="N149" s="7" t="str">
        <f>IF(MasterARReport[[#This Row],[Outstanding Amount]]=0, "PAID", "PENDING")</f>
        <v>PENDING</v>
      </c>
    </row>
    <row r="150" spans="1:14" x14ac:dyDescent="0.3">
      <c r="A150" s="26">
        <v>149</v>
      </c>
      <c r="B150" s="26" t="s">
        <v>358</v>
      </c>
      <c r="C150" s="27">
        <v>46121</v>
      </c>
      <c r="D150" s="7" t="s">
        <v>459</v>
      </c>
      <c r="E150" s="7" t="s">
        <v>455</v>
      </c>
      <c r="F150" s="28">
        <v>7460</v>
      </c>
      <c r="G150" s="29">
        <v>46146</v>
      </c>
      <c r="H150" s="30">
        <v>0</v>
      </c>
      <c r="I150" s="30">
        <f t="shared" si="9"/>
        <v>7460</v>
      </c>
      <c r="J150" s="7">
        <f t="shared" ca="1" si="10"/>
        <v>27</v>
      </c>
      <c r="K150" s="7" t="str">
        <f t="shared" ca="1" si="11"/>
        <v>0-30 Days</v>
      </c>
      <c r="L150" s="7" t="str">
        <f t="shared" ca="1" si="12"/>
        <v>Low</v>
      </c>
      <c r="M150" s="7" t="s">
        <v>456</v>
      </c>
      <c r="N150" s="7" t="str">
        <f>IF(MasterARReport[[#This Row],[Outstanding Amount]]=0, "PAID", "PENDING")</f>
        <v>PENDING</v>
      </c>
    </row>
    <row r="151" spans="1:14" x14ac:dyDescent="0.3">
      <c r="A151" s="31">
        <v>150</v>
      </c>
      <c r="B151" s="31" t="s">
        <v>358</v>
      </c>
      <c r="C151" s="32">
        <v>45202</v>
      </c>
      <c r="D151" s="33" t="s">
        <v>460</v>
      </c>
      <c r="E151" s="33" t="s">
        <v>461</v>
      </c>
      <c r="F151" s="34">
        <v>21098.1</v>
      </c>
      <c r="G151" s="35">
        <v>45202</v>
      </c>
      <c r="H151" s="36">
        <v>0</v>
      </c>
      <c r="I151" s="36">
        <f t="shared" si="9"/>
        <v>21098.1</v>
      </c>
      <c r="J151" s="33">
        <f t="shared" ca="1" si="10"/>
        <v>971</v>
      </c>
      <c r="K151" s="33" t="str">
        <f t="shared" ca="1" si="11"/>
        <v>90+ Days</v>
      </c>
      <c r="L151" s="33" t="str">
        <f t="shared" ca="1" si="12"/>
        <v>HIGH RISK</v>
      </c>
      <c r="M151" s="33" t="s">
        <v>462</v>
      </c>
      <c r="N151" s="7" t="str">
        <f>IF(MasterARReport[[#This Row],[Outstanding Amount]]=0, "PAID", "PENDING")</f>
        <v>PENDING</v>
      </c>
    </row>
    <row r="152" spans="1:14" x14ac:dyDescent="0.3">
      <c r="A152" s="20">
        <v>151</v>
      </c>
      <c r="B152" s="20" t="s">
        <v>358</v>
      </c>
      <c r="C152" s="21">
        <v>46087</v>
      </c>
      <c r="D152" s="22" t="s">
        <v>463</v>
      </c>
      <c r="E152" s="22" t="s">
        <v>461</v>
      </c>
      <c r="F152" s="23">
        <v>1427</v>
      </c>
      <c r="G152" s="24">
        <v>46112</v>
      </c>
      <c r="H152" s="25">
        <v>0</v>
      </c>
      <c r="I152" s="25">
        <f t="shared" si="9"/>
        <v>1427</v>
      </c>
      <c r="J152" s="22">
        <f t="shared" ca="1" si="10"/>
        <v>61</v>
      </c>
      <c r="K152" s="22" t="str">
        <f t="shared" ca="1" si="11"/>
        <v>61-90 Days</v>
      </c>
      <c r="L152" s="22" t="str">
        <f t="shared" ca="1" si="12"/>
        <v>Medium</v>
      </c>
      <c r="M152" s="22" t="s">
        <v>449</v>
      </c>
      <c r="N152" s="7" t="str">
        <f>IF(MasterARReport[[#This Row],[Outstanding Amount]]=0, "PAID", "PENDING")</f>
        <v>PENDING</v>
      </c>
    </row>
    <row r="153" spans="1:14" x14ac:dyDescent="0.3">
      <c r="A153" s="1">
        <v>152</v>
      </c>
      <c r="B153" s="1" t="s">
        <v>358</v>
      </c>
      <c r="C153" s="2">
        <v>46087</v>
      </c>
      <c r="D153" s="3" t="s">
        <v>464</v>
      </c>
      <c r="E153" s="3" t="s">
        <v>465</v>
      </c>
      <c r="F153" s="4">
        <v>1427</v>
      </c>
      <c r="G153" s="5">
        <v>46112</v>
      </c>
      <c r="H153" s="6">
        <v>0</v>
      </c>
      <c r="I153" s="6">
        <f t="shared" si="9"/>
        <v>1427</v>
      </c>
      <c r="J153" s="3">
        <f t="shared" ca="1" si="10"/>
        <v>61</v>
      </c>
      <c r="K153" s="3" t="str">
        <f t="shared" ca="1" si="11"/>
        <v>61-90 Days</v>
      </c>
      <c r="L153" s="3" t="str">
        <f t="shared" ca="1" si="12"/>
        <v>Medium</v>
      </c>
      <c r="M153" s="3" t="s">
        <v>449</v>
      </c>
      <c r="N153" s="7" t="str">
        <f>IF(MasterARReport[[#This Row],[Outstanding Amount]]=0, "PAID", "PENDING")</f>
        <v>PENDING</v>
      </c>
    </row>
    <row r="154" spans="1:14" x14ac:dyDescent="0.3">
      <c r="A154" s="20">
        <v>153</v>
      </c>
      <c r="B154" s="20" t="s">
        <v>358</v>
      </c>
      <c r="C154" s="21">
        <v>46112</v>
      </c>
      <c r="D154" s="22" t="s">
        <v>466</v>
      </c>
      <c r="E154" s="22" t="s">
        <v>467</v>
      </c>
      <c r="F154" s="23">
        <v>45625</v>
      </c>
      <c r="G154" s="24">
        <v>46137</v>
      </c>
      <c r="H154" s="25">
        <f>[1]PAYMENTS!C3</f>
        <v>45625</v>
      </c>
      <c r="I154" s="25">
        <f t="shared" si="9"/>
        <v>0</v>
      </c>
      <c r="J154" s="22">
        <f t="shared" ca="1" si="10"/>
        <v>36</v>
      </c>
      <c r="K154" s="22" t="str">
        <f t="shared" si="11"/>
        <v>Current</v>
      </c>
      <c r="L154" s="22" t="str">
        <f t="shared" si="12"/>
        <v>-</v>
      </c>
      <c r="M154" s="22" t="str">
        <f>[1]PAYMENTS!D3</f>
        <v>Paid by Cheque</v>
      </c>
      <c r="N154" s="7" t="str">
        <f>IF(MasterARReport[[#This Row],[Outstanding Amount]]=0, "PAID", "PENDING")</f>
        <v>PAID</v>
      </c>
    </row>
    <row r="155" spans="1:14" x14ac:dyDescent="0.3">
      <c r="A155" s="37">
        <v>154</v>
      </c>
      <c r="B155" s="37" t="s">
        <v>358</v>
      </c>
      <c r="C155" s="38">
        <v>46137</v>
      </c>
      <c r="D155" s="39" t="s">
        <v>468</v>
      </c>
      <c r="E155" s="39" t="s">
        <v>467</v>
      </c>
      <c r="F155" s="40">
        <v>91396</v>
      </c>
      <c r="G155" s="41">
        <v>46162</v>
      </c>
      <c r="H155" s="42">
        <v>0</v>
      </c>
      <c r="I155" s="42">
        <f t="shared" si="9"/>
        <v>91396</v>
      </c>
      <c r="J155" s="39">
        <f t="shared" ca="1" si="10"/>
        <v>11</v>
      </c>
      <c r="K155" s="39" t="str">
        <f t="shared" ca="1" si="11"/>
        <v>0-30 Days</v>
      </c>
      <c r="L155" s="39" t="str">
        <f t="shared" ca="1" si="12"/>
        <v>Low</v>
      </c>
      <c r="M155" s="39"/>
      <c r="N155" s="7" t="str">
        <f>IF(MasterARReport[[#This Row],[Outstanding Amount]]=0, "PAID", "PENDING")</f>
        <v>PENDING</v>
      </c>
    </row>
    <row r="156" spans="1:14" x14ac:dyDescent="0.3">
      <c r="A156" s="20">
        <v>155</v>
      </c>
      <c r="B156" s="20" t="s">
        <v>358</v>
      </c>
      <c r="C156" s="21">
        <v>46087</v>
      </c>
      <c r="D156" s="22" t="s">
        <v>469</v>
      </c>
      <c r="E156" s="22" t="s">
        <v>470</v>
      </c>
      <c r="F156" s="23">
        <v>52613</v>
      </c>
      <c r="G156" s="24">
        <v>46112</v>
      </c>
      <c r="H156" s="25">
        <v>0</v>
      </c>
      <c r="I156" s="25">
        <f t="shared" si="9"/>
        <v>52613</v>
      </c>
      <c r="J156" s="22">
        <f t="shared" ca="1" si="10"/>
        <v>61</v>
      </c>
      <c r="K156" s="22" t="str">
        <f t="shared" ca="1" si="11"/>
        <v>61-90 Days</v>
      </c>
      <c r="L156" s="22" t="str">
        <f t="shared" ca="1" si="12"/>
        <v>Medium</v>
      </c>
      <c r="M156" s="22" t="s">
        <v>471</v>
      </c>
      <c r="N156" s="7" t="str">
        <f>IF(MasterARReport[[#This Row],[Outstanding Amount]]=0, "PAID", "PENDING")</f>
        <v>PENDING</v>
      </c>
    </row>
    <row r="157" spans="1:14" x14ac:dyDescent="0.3">
      <c r="A157" s="1">
        <v>156</v>
      </c>
      <c r="B157" s="1" t="s">
        <v>358</v>
      </c>
      <c r="C157" s="2">
        <v>46109</v>
      </c>
      <c r="D157" s="3" t="s">
        <v>472</v>
      </c>
      <c r="E157" s="3" t="s">
        <v>470</v>
      </c>
      <c r="F157" s="4">
        <v>88584</v>
      </c>
      <c r="G157" s="5">
        <v>46134</v>
      </c>
      <c r="H157" s="6">
        <v>0</v>
      </c>
      <c r="I157" s="6">
        <f t="shared" si="9"/>
        <v>88584</v>
      </c>
      <c r="J157" s="3">
        <f t="shared" ca="1" si="10"/>
        <v>39</v>
      </c>
      <c r="K157" s="3" t="str">
        <f t="shared" ca="1" si="11"/>
        <v>31-60 Days</v>
      </c>
      <c r="L157" s="3" t="str">
        <f t="shared" ca="1" si="12"/>
        <v>Low-Medium</v>
      </c>
      <c r="M157" s="3" t="s">
        <v>471</v>
      </c>
      <c r="N157" s="7" t="str">
        <f>IF(MasterARReport[[#This Row],[Outstanding Amount]]=0, "PAID", "PENDING")</f>
        <v>PENDING</v>
      </c>
    </row>
    <row r="158" spans="1:14" x14ac:dyDescent="0.3">
      <c r="A158" s="26">
        <v>157</v>
      </c>
      <c r="B158" s="26" t="s">
        <v>358</v>
      </c>
      <c r="C158" s="27">
        <v>46140</v>
      </c>
      <c r="D158" s="7" t="s">
        <v>473</v>
      </c>
      <c r="E158" s="7" t="s">
        <v>474</v>
      </c>
      <c r="F158" s="28">
        <v>46578</v>
      </c>
      <c r="G158" s="29">
        <v>46140</v>
      </c>
      <c r="H158" s="30">
        <v>0</v>
      </c>
      <c r="I158" s="30">
        <f t="shared" si="9"/>
        <v>46578</v>
      </c>
      <c r="J158" s="7">
        <f t="shared" ca="1" si="10"/>
        <v>33</v>
      </c>
      <c r="K158" s="7" t="str">
        <f t="shared" ca="1" si="11"/>
        <v>31-60 Days</v>
      </c>
      <c r="L158" s="7" t="str">
        <f t="shared" ca="1" si="12"/>
        <v>Low-Medium</v>
      </c>
      <c r="M158" s="7" t="s">
        <v>456</v>
      </c>
      <c r="N158" s="7" t="str">
        <f>IF(MasterARReport[[#This Row],[Outstanding Amount]]=0, "PAID", "PENDING")</f>
        <v>PENDING</v>
      </c>
    </row>
    <row r="159" spans="1:14" x14ac:dyDescent="0.3">
      <c r="A159" s="37">
        <v>158</v>
      </c>
      <c r="B159" s="37" t="s">
        <v>358</v>
      </c>
      <c r="C159" s="38" t="s">
        <v>318</v>
      </c>
      <c r="D159" s="39" t="s">
        <v>475</v>
      </c>
      <c r="E159" s="39" t="s">
        <v>476</v>
      </c>
      <c r="F159" s="40">
        <v>22374</v>
      </c>
      <c r="G159" s="41" t="s">
        <v>477</v>
      </c>
      <c r="H159" s="42">
        <v>0</v>
      </c>
      <c r="I159" s="42">
        <f t="shared" si="9"/>
        <v>22374</v>
      </c>
      <c r="J159" s="39">
        <f t="shared" ca="1" si="10"/>
        <v>0</v>
      </c>
      <c r="K159" s="39" t="str">
        <f t="shared" ca="1" si="11"/>
        <v>0-30 Days</v>
      </c>
      <c r="L159" s="39" t="str">
        <f t="shared" ca="1" si="12"/>
        <v>Low</v>
      </c>
      <c r="M159" s="39"/>
      <c r="N159" s="7" t="str">
        <f>IF(MasterARReport[[#This Row],[Outstanding Amount]]=0, "PAID", "PENDING")</f>
        <v>PENDING</v>
      </c>
    </row>
    <row r="160" spans="1:14" x14ac:dyDescent="0.3">
      <c r="A160" s="26">
        <v>159</v>
      </c>
      <c r="B160" s="26" t="s">
        <v>358</v>
      </c>
      <c r="C160" s="27" t="s">
        <v>478</v>
      </c>
      <c r="D160" s="7" t="s">
        <v>479</v>
      </c>
      <c r="E160" s="7" t="s">
        <v>480</v>
      </c>
      <c r="F160" s="28">
        <v>1427</v>
      </c>
      <c r="G160" s="29" t="s">
        <v>481</v>
      </c>
      <c r="H160" s="30">
        <v>0</v>
      </c>
      <c r="I160" s="30">
        <f t="shared" si="9"/>
        <v>1427</v>
      </c>
      <c r="J160" s="7">
        <f t="shared" ca="1" si="10"/>
        <v>61</v>
      </c>
      <c r="K160" s="7" t="str">
        <f t="shared" ca="1" si="11"/>
        <v>61-90 Days</v>
      </c>
      <c r="L160" s="7" t="str">
        <f t="shared" ca="1" si="12"/>
        <v>Medium</v>
      </c>
      <c r="M160" s="7"/>
      <c r="N160" s="7" t="str">
        <f>IF(MasterARReport[[#This Row],[Outstanding Amount]]=0, "PAID", "PENDING")</f>
        <v>PENDING</v>
      </c>
    </row>
    <row r="161" spans="1:14" x14ac:dyDescent="0.3">
      <c r="A161" s="37">
        <v>160</v>
      </c>
      <c r="B161" s="37" t="s">
        <v>358</v>
      </c>
      <c r="C161" s="38" t="s">
        <v>321</v>
      </c>
      <c r="D161" s="39" t="s">
        <v>482</v>
      </c>
      <c r="E161" s="39" t="s">
        <v>483</v>
      </c>
      <c r="F161" s="40">
        <v>44999</v>
      </c>
      <c r="G161" s="41" t="s">
        <v>484</v>
      </c>
      <c r="H161" s="42">
        <v>0</v>
      </c>
      <c r="I161" s="42">
        <f t="shared" si="9"/>
        <v>44999</v>
      </c>
      <c r="J161" s="39">
        <f t="shared" ca="1" si="10"/>
        <v>6</v>
      </c>
      <c r="K161" s="39" t="str">
        <f t="shared" ca="1" si="11"/>
        <v>0-30 Days</v>
      </c>
      <c r="L161" s="39" t="str">
        <f t="shared" ca="1" si="12"/>
        <v>Low</v>
      </c>
      <c r="M161" s="39"/>
      <c r="N161" s="7" t="str">
        <f>IF(MasterARReport[[#This Row],[Outstanding Amount]]=0, "PAID", "PENDING")</f>
        <v>PENDING</v>
      </c>
    </row>
    <row r="162" spans="1:14" x14ac:dyDescent="0.3">
      <c r="A162" s="26">
        <v>161</v>
      </c>
      <c r="B162" s="26" t="s">
        <v>358</v>
      </c>
      <c r="C162" s="27" t="s">
        <v>485</v>
      </c>
      <c r="D162" s="7" t="s">
        <v>486</v>
      </c>
      <c r="E162" s="7" t="s">
        <v>483</v>
      </c>
      <c r="F162" s="28">
        <v>41544</v>
      </c>
      <c r="G162" s="29" t="s">
        <v>487</v>
      </c>
      <c r="H162" s="30">
        <v>0</v>
      </c>
      <c r="I162" s="30">
        <f t="shared" si="9"/>
        <v>41544</v>
      </c>
      <c r="J162" s="7">
        <f t="shared" ca="1" si="10"/>
        <v>0</v>
      </c>
      <c r="K162" s="7" t="str">
        <f t="shared" ca="1" si="11"/>
        <v>0-30 Days</v>
      </c>
      <c r="L162" s="7" t="str">
        <f t="shared" ca="1" si="12"/>
        <v>Low</v>
      </c>
      <c r="M162" s="7"/>
      <c r="N162" s="7" t="str">
        <f>IF(MasterARReport[[#This Row],[Outstanding Amount]]=0, "PAID", "PENDING")</f>
        <v>PENDING</v>
      </c>
    </row>
    <row r="163" spans="1:14" x14ac:dyDescent="0.3">
      <c r="A163" s="37">
        <v>162</v>
      </c>
      <c r="B163" s="37" t="s">
        <v>358</v>
      </c>
      <c r="C163" s="38" t="s">
        <v>485</v>
      </c>
      <c r="D163" s="39" t="s">
        <v>488</v>
      </c>
      <c r="E163" s="39" t="s">
        <v>489</v>
      </c>
      <c r="F163" s="40">
        <v>7464</v>
      </c>
      <c r="G163" s="41" t="s">
        <v>487</v>
      </c>
      <c r="H163" s="42">
        <v>0</v>
      </c>
      <c r="I163" s="42">
        <f t="shared" si="9"/>
        <v>7464</v>
      </c>
      <c r="J163" s="39">
        <f t="shared" ca="1" si="10"/>
        <v>0</v>
      </c>
      <c r="K163" s="39" t="str">
        <f t="shared" ca="1" si="11"/>
        <v>0-30 Days</v>
      </c>
      <c r="L163" s="39" t="str">
        <f t="shared" ca="1" si="12"/>
        <v>Low</v>
      </c>
      <c r="M163" s="39"/>
      <c r="N163" s="7" t="str">
        <f>IF(MasterARReport[[#This Row],[Outstanding Amount]]=0, "PAID", "PENDING")</f>
        <v>PENDING</v>
      </c>
    </row>
    <row r="164" spans="1:14" x14ac:dyDescent="0.3">
      <c r="A164" s="26">
        <v>163</v>
      </c>
      <c r="B164" s="26" t="s">
        <v>358</v>
      </c>
      <c r="C164" s="27" t="s">
        <v>478</v>
      </c>
      <c r="D164" s="7" t="s">
        <v>490</v>
      </c>
      <c r="E164" s="7" t="s">
        <v>491</v>
      </c>
      <c r="F164" s="28">
        <v>1427</v>
      </c>
      <c r="G164" s="29" t="s">
        <v>481</v>
      </c>
      <c r="H164" s="30">
        <v>0</v>
      </c>
      <c r="I164" s="30">
        <f t="shared" si="9"/>
        <v>1427</v>
      </c>
      <c r="J164" s="7">
        <f t="shared" ca="1" si="10"/>
        <v>61</v>
      </c>
      <c r="K164" s="7" t="str">
        <f t="shared" ca="1" si="11"/>
        <v>61-90 Days</v>
      </c>
      <c r="L164" s="7" t="str">
        <f t="shared" ca="1" si="12"/>
        <v>Medium</v>
      </c>
      <c r="M164" s="7"/>
      <c r="N164" s="7" t="str">
        <f>IF(MasterARReport[[#This Row],[Outstanding Amount]]=0, "PAID", "PENDING")</f>
        <v>PENDING</v>
      </c>
    </row>
    <row r="165" spans="1:14" x14ac:dyDescent="0.3">
      <c r="A165" s="37">
        <v>164</v>
      </c>
      <c r="B165" s="37" t="s">
        <v>358</v>
      </c>
      <c r="C165" s="38" t="s">
        <v>485</v>
      </c>
      <c r="D165" s="39" t="s">
        <v>492</v>
      </c>
      <c r="E165" s="39" t="s">
        <v>493</v>
      </c>
      <c r="F165" s="40">
        <v>25431</v>
      </c>
      <c r="G165" s="41" t="s">
        <v>487</v>
      </c>
      <c r="H165" s="42">
        <v>0</v>
      </c>
      <c r="I165" s="42">
        <f t="shared" si="9"/>
        <v>25431</v>
      </c>
      <c r="J165" s="39">
        <f t="shared" ca="1" si="10"/>
        <v>0</v>
      </c>
      <c r="K165" s="39" t="str">
        <f t="shared" ca="1" si="11"/>
        <v>0-30 Days</v>
      </c>
      <c r="L165" s="39" t="str">
        <f t="shared" ca="1" si="12"/>
        <v>Low</v>
      </c>
      <c r="M165" s="39"/>
      <c r="N165" s="7" t="str">
        <f>IF(MasterARReport[[#This Row],[Outstanding Amount]]=0, "PAID", "PENDING")</f>
        <v>PENDING</v>
      </c>
    </row>
    <row r="166" spans="1:14" x14ac:dyDescent="0.3">
      <c r="A166" s="26">
        <v>165</v>
      </c>
      <c r="B166" s="26" t="s">
        <v>358</v>
      </c>
      <c r="C166" s="27" t="s">
        <v>162</v>
      </c>
      <c r="D166" s="7" t="s">
        <v>494</v>
      </c>
      <c r="E166" s="7" t="s">
        <v>495</v>
      </c>
      <c r="F166" s="28">
        <v>70455</v>
      </c>
      <c r="G166" s="29" t="s">
        <v>165</v>
      </c>
      <c r="H166" s="30">
        <v>0</v>
      </c>
      <c r="I166" s="30">
        <f t="shared" si="9"/>
        <v>70455</v>
      </c>
      <c r="J166" s="7">
        <f t="shared" ca="1" si="10"/>
        <v>0</v>
      </c>
      <c r="K166" s="7" t="str">
        <f t="shared" ca="1" si="11"/>
        <v>0-30 Days</v>
      </c>
      <c r="L166" s="7" t="str">
        <f t="shared" ca="1" si="12"/>
        <v>Low</v>
      </c>
      <c r="M166" s="7"/>
      <c r="N166" s="7" t="str">
        <f>IF(MasterARReport[[#This Row],[Outstanding Amount]]=0, "PAID", "PENDING")</f>
        <v>PENDING</v>
      </c>
    </row>
    <row r="167" spans="1:14" x14ac:dyDescent="0.3">
      <c r="A167" s="37">
        <v>166</v>
      </c>
      <c r="B167" s="37" t="s">
        <v>358</v>
      </c>
      <c r="C167" s="38" t="s">
        <v>478</v>
      </c>
      <c r="D167" s="39" t="s">
        <v>496</v>
      </c>
      <c r="E167" s="39" t="s">
        <v>497</v>
      </c>
      <c r="F167" s="40">
        <v>23318</v>
      </c>
      <c r="G167" s="41" t="s">
        <v>481</v>
      </c>
      <c r="H167" s="42">
        <v>23318</v>
      </c>
      <c r="I167" s="42">
        <f t="shared" si="9"/>
        <v>0</v>
      </c>
      <c r="J167" s="39">
        <f t="shared" ca="1" si="10"/>
        <v>61</v>
      </c>
      <c r="K167" s="39" t="str">
        <f t="shared" si="11"/>
        <v>Current</v>
      </c>
      <c r="L167" s="39" t="str">
        <f t="shared" si="12"/>
        <v>-</v>
      </c>
      <c r="M167" s="39" t="s">
        <v>498</v>
      </c>
      <c r="N167" s="7" t="str">
        <f>IF(MasterARReport[[#This Row],[Outstanding Amount]]=0, "PAID", "PENDING")</f>
        <v>PAID</v>
      </c>
    </row>
    <row r="168" spans="1:14" x14ac:dyDescent="0.3">
      <c r="A168" s="26">
        <v>167</v>
      </c>
      <c r="B168" s="26" t="s">
        <v>358</v>
      </c>
      <c r="C168" s="27" t="s">
        <v>321</v>
      </c>
      <c r="D168" s="7" t="s">
        <v>499</v>
      </c>
      <c r="E168" s="7" t="s">
        <v>500</v>
      </c>
      <c r="F168" s="28">
        <v>22849</v>
      </c>
      <c r="G168" s="29" t="s">
        <v>484</v>
      </c>
      <c r="H168" s="30">
        <f>[1]PAYMENTS!C56</f>
        <v>22849</v>
      </c>
      <c r="I168" s="30">
        <f t="shared" si="9"/>
        <v>0</v>
      </c>
      <c r="J168" s="7">
        <f t="shared" ca="1" si="10"/>
        <v>6</v>
      </c>
      <c r="K168" s="7" t="str">
        <f t="shared" si="11"/>
        <v>Current</v>
      </c>
      <c r="L168" s="7" t="str">
        <f t="shared" si="12"/>
        <v>-</v>
      </c>
      <c r="M168" s="7" t="str">
        <f>[1]PAYMENTS!D56</f>
        <v>Paid by Cheque</v>
      </c>
      <c r="N168" s="7" t="str">
        <f>IF(MasterARReport[[#This Row],[Outstanding Amount]]=0, "PAID", "PENDING")</f>
        <v>PAID</v>
      </c>
    </row>
    <row r="169" spans="1:14" x14ac:dyDescent="0.3">
      <c r="A169" s="37">
        <v>168</v>
      </c>
      <c r="B169" s="37" t="s">
        <v>358</v>
      </c>
      <c r="C169" s="38" t="s">
        <v>501</v>
      </c>
      <c r="D169" s="39" t="s">
        <v>502</v>
      </c>
      <c r="E169" s="39" t="s">
        <v>500</v>
      </c>
      <c r="F169" s="40">
        <v>22849</v>
      </c>
      <c r="G169" s="41" t="s">
        <v>331</v>
      </c>
      <c r="H169" s="42">
        <v>0</v>
      </c>
      <c r="I169" s="42">
        <f t="shared" si="9"/>
        <v>22849</v>
      </c>
      <c r="J169" s="39">
        <f t="shared" ca="1" si="10"/>
        <v>0</v>
      </c>
      <c r="K169" s="39" t="str">
        <f t="shared" ca="1" si="11"/>
        <v>0-30 Days</v>
      </c>
      <c r="L169" s="39" t="str">
        <f t="shared" ca="1" si="12"/>
        <v>Low</v>
      </c>
      <c r="M169" s="39"/>
      <c r="N169" s="7" t="str">
        <f>IF(MasterARReport[[#This Row],[Outstanding Amount]]=0, "PAID", "PENDING")</f>
        <v>PENDING</v>
      </c>
    </row>
    <row r="170" spans="1:14" x14ac:dyDescent="0.3">
      <c r="A170" s="26">
        <v>169</v>
      </c>
      <c r="B170" s="26" t="s">
        <v>358</v>
      </c>
      <c r="C170" s="27" t="s">
        <v>503</v>
      </c>
      <c r="D170" s="7" t="s">
        <v>504</v>
      </c>
      <c r="E170" s="7" t="s">
        <v>505</v>
      </c>
      <c r="F170" s="28">
        <v>43882</v>
      </c>
      <c r="G170" s="29" t="s">
        <v>506</v>
      </c>
      <c r="H170" s="30">
        <v>0</v>
      </c>
      <c r="I170" s="30">
        <f t="shared" si="9"/>
        <v>43882</v>
      </c>
      <c r="J170" s="7">
        <f t="shared" ca="1" si="10"/>
        <v>0</v>
      </c>
      <c r="K170" s="7" t="str">
        <f t="shared" ca="1" si="11"/>
        <v>0-30 Days</v>
      </c>
      <c r="L170" s="7" t="str">
        <f t="shared" ca="1" si="12"/>
        <v>Low</v>
      </c>
      <c r="M170" s="7"/>
      <c r="N170" s="7" t="str">
        <f>IF(MasterARReport[[#This Row],[Outstanding Amount]]=0, "PAID", "PENDING")</f>
        <v>PENDING</v>
      </c>
    </row>
    <row r="171" spans="1:14" x14ac:dyDescent="0.3">
      <c r="A171" s="37">
        <v>170</v>
      </c>
      <c r="B171" s="37" t="s">
        <v>358</v>
      </c>
      <c r="C171" s="38" t="s">
        <v>178</v>
      </c>
      <c r="D171" s="39" t="s">
        <v>507</v>
      </c>
      <c r="E171" s="39" t="s">
        <v>505</v>
      </c>
      <c r="F171" s="40">
        <v>51464</v>
      </c>
      <c r="G171" s="41" t="s">
        <v>180</v>
      </c>
      <c r="H171" s="42">
        <v>0</v>
      </c>
      <c r="I171" s="42">
        <f t="shared" si="9"/>
        <v>51464</v>
      </c>
      <c r="J171" s="39">
        <f t="shared" ca="1" si="10"/>
        <v>0</v>
      </c>
      <c r="K171" s="39" t="str">
        <f t="shared" ca="1" si="11"/>
        <v>0-30 Days</v>
      </c>
      <c r="L171" s="39" t="str">
        <f t="shared" ca="1" si="12"/>
        <v>Low</v>
      </c>
      <c r="M171" s="39"/>
      <c r="N171" s="7" t="str">
        <f>IF(MasterARReport[[#This Row],[Outstanding Amount]]=0, "PAID", "PENDING")</f>
        <v>PENDING</v>
      </c>
    </row>
    <row r="172" spans="1:14" x14ac:dyDescent="0.3">
      <c r="A172" s="26">
        <v>171</v>
      </c>
      <c r="B172" s="26" t="s">
        <v>358</v>
      </c>
      <c r="C172" s="27" t="s">
        <v>311</v>
      </c>
      <c r="D172" s="7" t="s">
        <v>508</v>
      </c>
      <c r="E172" s="7" t="s">
        <v>505</v>
      </c>
      <c r="F172" s="28">
        <v>27811</v>
      </c>
      <c r="G172" s="29" t="s">
        <v>328</v>
      </c>
      <c r="H172" s="30">
        <v>0</v>
      </c>
      <c r="I172" s="30">
        <f t="shared" si="9"/>
        <v>27811</v>
      </c>
      <c r="J172" s="7">
        <f t="shared" ca="1" si="10"/>
        <v>4</v>
      </c>
      <c r="K172" s="7" t="str">
        <f t="shared" ca="1" si="11"/>
        <v>0-30 Days</v>
      </c>
      <c r="L172" s="7" t="str">
        <f t="shared" ca="1" si="12"/>
        <v>Low</v>
      </c>
      <c r="M172" s="7"/>
      <c r="N172" s="7" t="str">
        <f>IF(MasterARReport[[#This Row],[Outstanding Amount]]=0, "PAID", "PENDING")</f>
        <v>PENDING</v>
      </c>
    </row>
    <row r="173" spans="1:14" x14ac:dyDescent="0.3">
      <c r="A173" s="37">
        <v>172</v>
      </c>
      <c r="B173" s="37" t="s">
        <v>358</v>
      </c>
      <c r="C173" s="38" t="s">
        <v>311</v>
      </c>
      <c r="D173" s="39" t="s">
        <v>509</v>
      </c>
      <c r="E173" s="39" t="s">
        <v>505</v>
      </c>
      <c r="F173" s="40">
        <v>500</v>
      </c>
      <c r="G173" s="41" t="s">
        <v>328</v>
      </c>
      <c r="H173" s="42">
        <v>0</v>
      </c>
      <c r="I173" s="42">
        <f t="shared" si="9"/>
        <v>500</v>
      </c>
      <c r="J173" s="39">
        <f t="shared" ca="1" si="10"/>
        <v>4</v>
      </c>
      <c r="K173" s="39" t="str">
        <f t="shared" ca="1" si="11"/>
        <v>0-30 Days</v>
      </c>
      <c r="L173" s="39" t="str">
        <f t="shared" ca="1" si="12"/>
        <v>Low</v>
      </c>
      <c r="M173" s="39"/>
      <c r="N173" s="7" t="str">
        <f>IF(MasterARReport[[#This Row],[Outstanding Amount]]=0, "PAID", "PENDING")</f>
        <v>PENDING</v>
      </c>
    </row>
    <row r="174" spans="1:14" x14ac:dyDescent="0.3">
      <c r="A174" s="26">
        <v>173</v>
      </c>
      <c r="B174" s="26" t="s">
        <v>358</v>
      </c>
      <c r="C174" s="27" t="s">
        <v>178</v>
      </c>
      <c r="D174" s="7" t="s">
        <v>510</v>
      </c>
      <c r="E174" s="7" t="s">
        <v>505</v>
      </c>
      <c r="F174" s="28">
        <v>28902</v>
      </c>
      <c r="G174" s="29" t="s">
        <v>180</v>
      </c>
      <c r="H174" s="30">
        <v>0</v>
      </c>
      <c r="I174" s="30">
        <f t="shared" si="9"/>
        <v>28902</v>
      </c>
      <c r="J174" s="7">
        <f t="shared" ca="1" si="10"/>
        <v>0</v>
      </c>
      <c r="K174" s="7" t="str">
        <f t="shared" ca="1" si="11"/>
        <v>0-30 Days</v>
      </c>
      <c r="L174" s="7" t="str">
        <f t="shared" ca="1" si="12"/>
        <v>Low</v>
      </c>
      <c r="M174" s="7"/>
      <c r="N174" s="7" t="str">
        <f>IF(MasterARReport[[#This Row],[Outstanding Amount]]=0, "PAID", "PENDING")</f>
        <v>PENDING</v>
      </c>
    </row>
    <row r="175" spans="1:14" x14ac:dyDescent="0.3">
      <c r="A175" s="37">
        <v>174</v>
      </c>
      <c r="B175" s="37" t="s">
        <v>358</v>
      </c>
      <c r="C175" s="38" t="s">
        <v>178</v>
      </c>
      <c r="D175" s="39" t="s">
        <v>511</v>
      </c>
      <c r="E175" s="39" t="s">
        <v>505</v>
      </c>
      <c r="F175" s="40">
        <v>82798</v>
      </c>
      <c r="G175" s="41" t="s">
        <v>180</v>
      </c>
      <c r="H175" s="42">
        <v>0</v>
      </c>
      <c r="I175" s="42">
        <f t="shared" si="9"/>
        <v>82798</v>
      </c>
      <c r="J175" s="39">
        <f t="shared" ca="1" si="10"/>
        <v>0</v>
      </c>
      <c r="K175" s="39" t="str">
        <f t="shared" ca="1" si="11"/>
        <v>0-30 Days</v>
      </c>
      <c r="L175" s="39" t="str">
        <f t="shared" ca="1" si="12"/>
        <v>Low</v>
      </c>
      <c r="M175" s="39"/>
      <c r="N175" s="7" t="str">
        <f>IF(MasterARReport[[#This Row],[Outstanding Amount]]=0, "PAID", "PENDING")</f>
        <v>PENDING</v>
      </c>
    </row>
    <row r="176" spans="1:14" x14ac:dyDescent="0.3">
      <c r="A176" s="26">
        <v>175</v>
      </c>
      <c r="B176" s="26" t="s">
        <v>358</v>
      </c>
      <c r="C176" s="27" t="s">
        <v>162</v>
      </c>
      <c r="D176" s="7" t="s">
        <v>512</v>
      </c>
      <c r="E176" s="7" t="s">
        <v>505</v>
      </c>
      <c r="F176" s="28">
        <v>59677</v>
      </c>
      <c r="G176" s="29" t="s">
        <v>165</v>
      </c>
      <c r="H176" s="30">
        <v>0</v>
      </c>
      <c r="I176" s="30">
        <f t="shared" si="9"/>
        <v>59677</v>
      </c>
      <c r="J176" s="7">
        <f t="shared" ca="1" si="10"/>
        <v>0</v>
      </c>
      <c r="K176" s="7" t="str">
        <f t="shared" ca="1" si="11"/>
        <v>0-30 Days</v>
      </c>
      <c r="L176" s="7" t="str">
        <f t="shared" ca="1" si="12"/>
        <v>Low</v>
      </c>
      <c r="M176" s="7"/>
      <c r="N176" s="7" t="str">
        <f>IF(MasterARReport[[#This Row],[Outstanding Amount]]=0, "PAID", "PENDING")</f>
        <v>PENDING</v>
      </c>
    </row>
    <row r="177" spans="1:14" x14ac:dyDescent="0.3">
      <c r="A177" s="1">
        <v>176</v>
      </c>
      <c r="B177" s="1" t="s">
        <v>14</v>
      </c>
      <c r="C177" s="2">
        <v>46095</v>
      </c>
      <c r="D177" s="3" t="s">
        <v>15</v>
      </c>
      <c r="E177" s="3" t="s">
        <v>16</v>
      </c>
      <c r="F177" s="4">
        <v>8075</v>
      </c>
      <c r="G177" s="5">
        <v>46120</v>
      </c>
      <c r="H177" s="6">
        <f>[1]PAYMENTS!C45</f>
        <v>8075</v>
      </c>
      <c r="I177" s="6">
        <f t="shared" si="9"/>
        <v>0</v>
      </c>
      <c r="J177" s="3">
        <f t="shared" ca="1" si="10"/>
        <v>53</v>
      </c>
      <c r="K177" s="3" t="str">
        <f t="shared" si="11"/>
        <v>Current</v>
      </c>
      <c r="L177" s="3" t="str">
        <f t="shared" si="12"/>
        <v>-</v>
      </c>
      <c r="M177" s="3" t="str">
        <f>[1]PAYMENTS!D45</f>
        <v xml:space="preserve">Paid Online </v>
      </c>
      <c r="N177" s="7" t="str">
        <f>IF(MasterARReport[[#This Row],[Outstanding Amount]]=0, "PAID", "PENDING")</f>
        <v>PAID</v>
      </c>
    </row>
    <row r="178" spans="1:14" x14ac:dyDescent="0.3">
      <c r="A178" s="8">
        <v>177</v>
      </c>
      <c r="B178" s="8" t="s">
        <v>14</v>
      </c>
      <c r="C178" s="9">
        <v>45996</v>
      </c>
      <c r="D178" s="10" t="s">
        <v>17</v>
      </c>
      <c r="E178" s="10" t="s">
        <v>18</v>
      </c>
      <c r="F178" s="11">
        <v>30511</v>
      </c>
      <c r="G178" s="12">
        <v>46021</v>
      </c>
      <c r="H178" s="13">
        <v>0</v>
      </c>
      <c r="I178" s="13">
        <f t="shared" si="9"/>
        <v>30511</v>
      </c>
      <c r="J178" s="10">
        <f t="shared" ca="1" si="10"/>
        <v>152</v>
      </c>
      <c r="K178" s="10" t="str">
        <f t="shared" ca="1" si="11"/>
        <v>90+ Days</v>
      </c>
      <c r="L178" s="10" t="str">
        <f t="shared" ca="1" si="12"/>
        <v>HIGH RISK</v>
      </c>
      <c r="M178" s="10" t="s">
        <v>19</v>
      </c>
      <c r="N178" s="7" t="str">
        <f>IF(MasterARReport[[#This Row],[Outstanding Amount]]=0, "PAID", "PENDING")</f>
        <v>PENDING</v>
      </c>
    </row>
    <row r="179" spans="1:14" x14ac:dyDescent="0.3">
      <c r="A179" s="1">
        <v>178</v>
      </c>
      <c r="B179" s="1" t="s">
        <v>14</v>
      </c>
      <c r="C179" s="2">
        <v>46105</v>
      </c>
      <c r="D179" s="3" t="s">
        <v>20</v>
      </c>
      <c r="E179" s="3" t="s">
        <v>21</v>
      </c>
      <c r="F179" s="4">
        <v>1186</v>
      </c>
      <c r="G179" s="5">
        <v>46130</v>
      </c>
      <c r="H179" s="6">
        <v>1186</v>
      </c>
      <c r="I179" s="6">
        <f t="shared" si="9"/>
        <v>0</v>
      </c>
      <c r="J179" s="3">
        <f t="shared" ca="1" si="10"/>
        <v>43</v>
      </c>
      <c r="K179" s="3" t="str">
        <f t="shared" si="11"/>
        <v>Current</v>
      </c>
      <c r="L179" s="3" t="str">
        <f t="shared" si="12"/>
        <v>-</v>
      </c>
      <c r="M179" s="3" t="s">
        <v>22</v>
      </c>
      <c r="N179" s="7" t="str">
        <f>IF(MasterARReport[[#This Row],[Outstanding Amount]]=0, "PAID", "PENDING")</f>
        <v>PAID</v>
      </c>
    </row>
    <row r="180" spans="1:14" x14ac:dyDescent="0.3">
      <c r="A180" s="56">
        <v>179</v>
      </c>
      <c r="B180" s="56" t="s">
        <v>14</v>
      </c>
      <c r="C180" s="57">
        <v>46156</v>
      </c>
      <c r="D180" s="58" t="s">
        <v>23</v>
      </c>
      <c r="E180" s="58" t="s">
        <v>21</v>
      </c>
      <c r="F180" s="59">
        <v>2941</v>
      </c>
      <c r="G180" s="60">
        <v>46181</v>
      </c>
      <c r="H180" s="61">
        <v>2941</v>
      </c>
      <c r="I180" s="61">
        <f t="shared" si="9"/>
        <v>0</v>
      </c>
      <c r="J180" s="58">
        <f t="shared" ca="1" si="10"/>
        <v>0</v>
      </c>
      <c r="K180" s="58" t="str">
        <f t="shared" si="11"/>
        <v>Current</v>
      </c>
      <c r="L180" s="58" t="str">
        <f t="shared" si="12"/>
        <v>-</v>
      </c>
      <c r="M180" s="58" t="s">
        <v>22</v>
      </c>
      <c r="N180" s="7" t="str">
        <f>IF(MasterARReport[[#This Row],[Outstanding Amount]]=0, "PAID", "PENDING")</f>
        <v>PAID</v>
      </c>
    </row>
    <row r="181" spans="1:14" x14ac:dyDescent="0.3">
      <c r="A181" s="1">
        <v>180</v>
      </c>
      <c r="B181" s="1" t="s">
        <v>14</v>
      </c>
      <c r="C181" s="2">
        <v>46105</v>
      </c>
      <c r="D181" s="3" t="s">
        <v>24</v>
      </c>
      <c r="E181" s="3" t="s">
        <v>25</v>
      </c>
      <c r="F181" s="4">
        <v>5152</v>
      </c>
      <c r="G181" s="5">
        <v>46130</v>
      </c>
      <c r="H181" s="6">
        <v>0</v>
      </c>
      <c r="I181" s="6">
        <f t="shared" si="9"/>
        <v>5152</v>
      </c>
      <c r="J181" s="3">
        <f t="shared" ca="1" si="10"/>
        <v>43</v>
      </c>
      <c r="K181" s="3" t="str">
        <f t="shared" ca="1" si="11"/>
        <v>31-60 Days</v>
      </c>
      <c r="L181" s="3" t="str">
        <f t="shared" ca="1" si="12"/>
        <v>Low-Medium</v>
      </c>
      <c r="M181" s="3" t="s">
        <v>26</v>
      </c>
      <c r="N181" s="7" t="str">
        <f>IF(MasterARReport[[#This Row],[Outstanding Amount]]=0, "PAID", "PENDING")</f>
        <v>PENDING</v>
      </c>
    </row>
    <row r="182" spans="1:14" x14ac:dyDescent="0.3">
      <c r="A182" s="8">
        <v>181</v>
      </c>
      <c r="B182" s="8" t="s">
        <v>14</v>
      </c>
      <c r="C182" s="9">
        <v>45975</v>
      </c>
      <c r="D182" s="10" t="s">
        <v>27</v>
      </c>
      <c r="E182" s="10" t="s">
        <v>28</v>
      </c>
      <c r="F182" s="11">
        <v>2900</v>
      </c>
      <c r="G182" s="12">
        <v>46000</v>
      </c>
      <c r="H182" s="13">
        <v>2900</v>
      </c>
      <c r="I182" s="13">
        <f t="shared" si="9"/>
        <v>0</v>
      </c>
      <c r="J182" s="10">
        <f t="shared" ca="1" si="10"/>
        <v>173</v>
      </c>
      <c r="K182" s="10" t="str">
        <f t="shared" si="11"/>
        <v>Current</v>
      </c>
      <c r="L182" s="10" t="str">
        <f t="shared" si="12"/>
        <v>-</v>
      </c>
      <c r="M182" s="10" t="s">
        <v>29</v>
      </c>
      <c r="N182" s="7" t="str">
        <f>IF(MasterARReport[[#This Row],[Outstanding Amount]]=0, "PAID", "PENDING")</f>
        <v>PAID</v>
      </c>
    </row>
    <row r="183" spans="1:14" x14ac:dyDescent="0.3">
      <c r="A183" s="14">
        <v>182</v>
      </c>
      <c r="B183" s="14" t="s">
        <v>14</v>
      </c>
      <c r="C183" s="15">
        <v>46069</v>
      </c>
      <c r="D183" s="16" t="s">
        <v>30</v>
      </c>
      <c r="E183" s="16" t="s">
        <v>28</v>
      </c>
      <c r="F183" s="17">
        <v>2044</v>
      </c>
      <c r="G183" s="18">
        <v>46094</v>
      </c>
      <c r="H183" s="19">
        <v>2044</v>
      </c>
      <c r="I183" s="19">
        <f t="shared" si="9"/>
        <v>0</v>
      </c>
      <c r="J183" s="16">
        <f t="shared" ca="1" si="10"/>
        <v>79</v>
      </c>
      <c r="K183" s="16" t="str">
        <f t="shared" si="11"/>
        <v>Current</v>
      </c>
      <c r="L183" s="16" t="str">
        <f t="shared" si="12"/>
        <v>-</v>
      </c>
      <c r="M183" s="62" t="s">
        <v>31</v>
      </c>
      <c r="N183" s="7" t="str">
        <f>IF(MasterARReport[[#This Row],[Outstanding Amount]]=0, "PAID", "PENDING")</f>
        <v>PAID</v>
      </c>
    </row>
    <row r="184" spans="1:14" x14ac:dyDescent="0.3">
      <c r="A184" s="20">
        <v>183</v>
      </c>
      <c r="B184" s="20" t="s">
        <v>14</v>
      </c>
      <c r="C184" s="21">
        <v>46088</v>
      </c>
      <c r="D184" s="22" t="s">
        <v>32</v>
      </c>
      <c r="E184" s="22" t="s">
        <v>33</v>
      </c>
      <c r="F184" s="23">
        <v>2472</v>
      </c>
      <c r="G184" s="24">
        <v>46113</v>
      </c>
      <c r="H184" s="25">
        <v>0</v>
      </c>
      <c r="I184" s="25">
        <f t="shared" si="9"/>
        <v>2472</v>
      </c>
      <c r="J184" s="22">
        <f t="shared" ca="1" si="10"/>
        <v>60</v>
      </c>
      <c r="K184" s="22" t="str">
        <f t="shared" ca="1" si="11"/>
        <v>31-60 Days</v>
      </c>
      <c r="L184" s="22" t="str">
        <f t="shared" ca="1" si="12"/>
        <v>Low-Medium</v>
      </c>
      <c r="M184" s="22" t="s">
        <v>34</v>
      </c>
      <c r="N184" s="7" t="str">
        <f>IF(MasterARReport[[#This Row],[Outstanding Amount]]=0, "PAID", "PENDING")</f>
        <v>PENDING</v>
      </c>
    </row>
    <row r="185" spans="1:14" x14ac:dyDescent="0.3">
      <c r="A185" s="1">
        <v>184</v>
      </c>
      <c r="B185" s="1" t="s">
        <v>14</v>
      </c>
      <c r="C185" s="2">
        <v>46105</v>
      </c>
      <c r="D185" s="3" t="s">
        <v>35</v>
      </c>
      <c r="E185" s="3" t="s">
        <v>36</v>
      </c>
      <c r="F185" s="4">
        <v>381</v>
      </c>
      <c r="G185" s="5">
        <v>46130</v>
      </c>
      <c r="H185" s="6">
        <v>0</v>
      </c>
      <c r="I185" s="6">
        <f t="shared" si="9"/>
        <v>381</v>
      </c>
      <c r="J185" s="3">
        <f t="shared" ca="1" si="10"/>
        <v>43</v>
      </c>
      <c r="K185" s="3" t="str">
        <f t="shared" ca="1" si="11"/>
        <v>31-60 Days</v>
      </c>
      <c r="L185" s="3" t="str">
        <f t="shared" ca="1" si="12"/>
        <v>Low-Medium</v>
      </c>
      <c r="M185" s="3" t="s">
        <v>37</v>
      </c>
      <c r="N185" s="7" t="str">
        <f>IF(MasterARReport[[#This Row],[Outstanding Amount]]=0, "PAID", "PENDING")</f>
        <v>PENDING</v>
      </c>
    </row>
    <row r="186" spans="1:14" x14ac:dyDescent="0.3">
      <c r="A186" s="26">
        <v>185</v>
      </c>
      <c r="B186" s="26" t="s">
        <v>14</v>
      </c>
      <c r="C186" s="27">
        <v>46123</v>
      </c>
      <c r="D186" s="7" t="s">
        <v>38</v>
      </c>
      <c r="E186" s="7" t="s">
        <v>36</v>
      </c>
      <c r="F186" s="28">
        <v>8874</v>
      </c>
      <c r="G186" s="29">
        <v>46148</v>
      </c>
      <c r="H186" s="30">
        <v>0</v>
      </c>
      <c r="I186" s="30">
        <f t="shared" si="9"/>
        <v>8874</v>
      </c>
      <c r="J186" s="7">
        <f t="shared" ca="1" si="10"/>
        <v>25</v>
      </c>
      <c r="K186" s="7" t="str">
        <f t="shared" ca="1" si="11"/>
        <v>0-30 Days</v>
      </c>
      <c r="L186" s="7" t="str">
        <f t="shared" ca="1" si="12"/>
        <v>Low</v>
      </c>
      <c r="M186" s="7" t="s">
        <v>37</v>
      </c>
      <c r="N186" s="7" t="str">
        <f>IF(MasterARReport[[#This Row],[Outstanding Amount]]=0, "PAID", "PENDING")</f>
        <v>PENDING</v>
      </c>
    </row>
    <row r="187" spans="1:14" x14ac:dyDescent="0.3">
      <c r="A187" s="1">
        <v>186</v>
      </c>
      <c r="B187" s="1" t="s">
        <v>14</v>
      </c>
      <c r="C187" s="2">
        <v>46104</v>
      </c>
      <c r="D187" s="3" t="s">
        <v>39</v>
      </c>
      <c r="E187" s="3" t="s">
        <v>40</v>
      </c>
      <c r="F187" s="4">
        <v>2</v>
      </c>
      <c r="G187" s="5">
        <v>46129</v>
      </c>
      <c r="H187" s="6">
        <v>0</v>
      </c>
      <c r="I187" s="6">
        <f t="shared" si="9"/>
        <v>2</v>
      </c>
      <c r="J187" s="3">
        <f t="shared" ca="1" si="10"/>
        <v>44</v>
      </c>
      <c r="K187" s="3" t="str">
        <f t="shared" ca="1" si="11"/>
        <v>31-60 Days</v>
      </c>
      <c r="L187" s="3" t="str">
        <f t="shared" ca="1" si="12"/>
        <v>Low-Medium</v>
      </c>
      <c r="M187" s="3"/>
      <c r="N187" s="7" t="str">
        <f>IF(MasterARReport[[#This Row],[Outstanding Amount]]=0, "PAID", "PENDING")</f>
        <v>PENDING</v>
      </c>
    </row>
    <row r="188" spans="1:14" x14ac:dyDescent="0.3">
      <c r="A188" s="20">
        <v>187</v>
      </c>
      <c r="B188" s="20" t="s">
        <v>14</v>
      </c>
      <c r="C188" s="21">
        <v>46095</v>
      </c>
      <c r="D188" s="22" t="s">
        <v>41</v>
      </c>
      <c r="E188" s="22" t="s">
        <v>42</v>
      </c>
      <c r="F188" s="23">
        <v>2561</v>
      </c>
      <c r="G188" s="24">
        <v>46120</v>
      </c>
      <c r="H188" s="25">
        <v>0</v>
      </c>
      <c r="I188" s="25">
        <f t="shared" si="9"/>
        <v>2561</v>
      </c>
      <c r="J188" s="22">
        <f t="shared" ca="1" si="10"/>
        <v>53</v>
      </c>
      <c r="K188" s="22" t="str">
        <f t="shared" ca="1" si="11"/>
        <v>31-60 Days</v>
      </c>
      <c r="L188" s="22" t="str">
        <f t="shared" ca="1" si="12"/>
        <v>Low-Medium</v>
      </c>
      <c r="M188" s="22" t="s">
        <v>43</v>
      </c>
      <c r="N188" s="7" t="str">
        <f>IF(MasterARReport[[#This Row],[Outstanding Amount]]=0, "PAID", "PENDING")</f>
        <v>PENDING</v>
      </c>
    </row>
    <row r="189" spans="1:14" x14ac:dyDescent="0.3">
      <c r="A189" s="1">
        <v>188</v>
      </c>
      <c r="B189" s="1" t="s">
        <v>14</v>
      </c>
      <c r="C189" s="2">
        <v>46090</v>
      </c>
      <c r="D189" s="3" t="s">
        <v>44</v>
      </c>
      <c r="E189" s="3" t="s">
        <v>45</v>
      </c>
      <c r="F189" s="4">
        <v>4181</v>
      </c>
      <c r="G189" s="5">
        <v>46115</v>
      </c>
      <c r="H189" s="6">
        <f>[1]PAYMENTS!C34</f>
        <v>4181</v>
      </c>
      <c r="I189" s="6">
        <f t="shared" si="9"/>
        <v>0</v>
      </c>
      <c r="J189" s="3">
        <f t="shared" ca="1" si="10"/>
        <v>58</v>
      </c>
      <c r="K189" s="3" t="str">
        <f t="shared" si="11"/>
        <v>Current</v>
      </c>
      <c r="L189" s="3" t="str">
        <f t="shared" si="12"/>
        <v>-</v>
      </c>
      <c r="M189" s="3" t="str">
        <f>[1]PAYMENTS!D34</f>
        <v>Paid by Cheque</v>
      </c>
      <c r="N189" s="7" t="str">
        <f>IF(MasterARReport[[#This Row],[Outstanding Amount]]=0, "PAID", "PENDING")</f>
        <v>PAID</v>
      </c>
    </row>
    <row r="190" spans="1:14" x14ac:dyDescent="0.3">
      <c r="A190" s="20">
        <v>189</v>
      </c>
      <c r="B190" s="20" t="s">
        <v>14</v>
      </c>
      <c r="C190" s="21">
        <v>46107</v>
      </c>
      <c r="D190" s="22" t="s">
        <v>46</v>
      </c>
      <c r="E190" s="22" t="s">
        <v>45</v>
      </c>
      <c r="F190" s="23">
        <v>947</v>
      </c>
      <c r="G190" s="24">
        <v>46132</v>
      </c>
      <c r="H190" s="25">
        <f>[1]PAYMENTS!C35</f>
        <v>947</v>
      </c>
      <c r="I190" s="25">
        <f t="shared" si="9"/>
        <v>0</v>
      </c>
      <c r="J190" s="22">
        <f t="shared" ca="1" si="10"/>
        <v>41</v>
      </c>
      <c r="K190" s="22" t="str">
        <f t="shared" si="11"/>
        <v>Current</v>
      </c>
      <c r="L190" s="22" t="str">
        <f t="shared" si="12"/>
        <v>-</v>
      </c>
      <c r="M190" s="22" t="str">
        <f>[1]PAYMENTS!D35</f>
        <v>Paid by Cheque</v>
      </c>
      <c r="N190" s="7" t="str">
        <f>IF(MasterARReport[[#This Row],[Outstanding Amount]]=0, "PAID", "PENDING")</f>
        <v>PAID</v>
      </c>
    </row>
    <row r="191" spans="1:14" x14ac:dyDescent="0.3">
      <c r="A191" s="31">
        <v>190</v>
      </c>
      <c r="B191" s="31" t="s">
        <v>14</v>
      </c>
      <c r="C191" s="32">
        <v>45489</v>
      </c>
      <c r="D191" s="33" t="s">
        <v>47</v>
      </c>
      <c r="E191" s="33" t="s">
        <v>48</v>
      </c>
      <c r="F191" s="34">
        <v>34687</v>
      </c>
      <c r="G191" s="35">
        <v>45514</v>
      </c>
      <c r="H191" s="36">
        <v>0</v>
      </c>
      <c r="I191" s="36">
        <f t="shared" si="9"/>
        <v>34687</v>
      </c>
      <c r="J191" s="33">
        <f t="shared" ca="1" si="10"/>
        <v>659</v>
      </c>
      <c r="K191" s="33" t="str">
        <f t="shared" ca="1" si="11"/>
        <v>90+ Days</v>
      </c>
      <c r="L191" s="33" t="str">
        <f t="shared" ca="1" si="12"/>
        <v>HIGH RISK</v>
      </c>
      <c r="M191" s="33" t="s">
        <v>49</v>
      </c>
      <c r="N191" s="7" t="str">
        <f>IF(MasterARReport[[#This Row],[Outstanding Amount]]=0, "PAID", "PENDING")</f>
        <v>PENDING</v>
      </c>
    </row>
    <row r="192" spans="1:14" x14ac:dyDescent="0.3">
      <c r="A192" s="8">
        <v>191</v>
      </c>
      <c r="B192" s="8" t="s">
        <v>14</v>
      </c>
      <c r="C192" s="9">
        <v>45510</v>
      </c>
      <c r="D192" s="10" t="s">
        <v>50</v>
      </c>
      <c r="E192" s="10" t="s">
        <v>48</v>
      </c>
      <c r="F192" s="11">
        <v>596</v>
      </c>
      <c r="G192" s="12">
        <v>45535</v>
      </c>
      <c r="H192" s="13">
        <v>0</v>
      </c>
      <c r="I192" s="13">
        <f t="shared" si="9"/>
        <v>596</v>
      </c>
      <c r="J192" s="10">
        <f t="shared" ca="1" si="10"/>
        <v>638</v>
      </c>
      <c r="K192" s="10" t="str">
        <f t="shared" ca="1" si="11"/>
        <v>90+ Days</v>
      </c>
      <c r="L192" s="10" t="str">
        <f t="shared" ca="1" si="12"/>
        <v>HIGH RISK</v>
      </c>
      <c r="M192" s="10" t="str">
        <f>M191</f>
        <v>Bad Debt</v>
      </c>
      <c r="N192" s="7" t="str">
        <f>IF(MasterARReport[[#This Row],[Outstanding Amount]]=0, "PAID", "PENDING")</f>
        <v>PENDING</v>
      </c>
    </row>
    <row r="193" spans="1:14" x14ac:dyDescent="0.3">
      <c r="A193" s="31">
        <v>192</v>
      </c>
      <c r="B193" s="31" t="s">
        <v>14</v>
      </c>
      <c r="C193" s="32">
        <v>45533</v>
      </c>
      <c r="D193" s="33" t="s">
        <v>51</v>
      </c>
      <c r="E193" s="33" t="s">
        <v>48</v>
      </c>
      <c r="F193" s="34">
        <v>24001</v>
      </c>
      <c r="G193" s="35">
        <v>45558</v>
      </c>
      <c r="H193" s="36">
        <v>0</v>
      </c>
      <c r="I193" s="36">
        <f t="shared" si="9"/>
        <v>24001</v>
      </c>
      <c r="J193" s="33">
        <f t="shared" ca="1" si="10"/>
        <v>615</v>
      </c>
      <c r="K193" s="33" t="str">
        <f t="shared" ca="1" si="11"/>
        <v>90+ Days</v>
      </c>
      <c r="L193" s="33" t="str">
        <f t="shared" ca="1" si="12"/>
        <v>HIGH RISK</v>
      </c>
      <c r="M193" s="33" t="str">
        <f>M192</f>
        <v>Bad Debt</v>
      </c>
      <c r="N193" s="7" t="str">
        <f>IF(MasterARReport[[#This Row],[Outstanding Amount]]=0, "PAID", "PENDING")</f>
        <v>PENDING</v>
      </c>
    </row>
    <row r="194" spans="1:14" x14ac:dyDescent="0.3">
      <c r="A194" s="26">
        <v>193</v>
      </c>
      <c r="B194" s="26" t="s">
        <v>14</v>
      </c>
      <c r="C194" s="27">
        <v>46120</v>
      </c>
      <c r="D194" s="7" t="s">
        <v>52</v>
      </c>
      <c r="E194" s="7" t="s">
        <v>53</v>
      </c>
      <c r="F194" s="28">
        <v>5566</v>
      </c>
      <c r="G194" s="29">
        <v>46145</v>
      </c>
      <c r="H194" s="30">
        <v>0</v>
      </c>
      <c r="I194" s="30">
        <f t="shared" ref="I194:I257" si="13">MAX(0,F194-H194)</f>
        <v>5566</v>
      </c>
      <c r="J194" s="7">
        <f t="shared" ref="J194:J257" ca="1" si="14">IF(G194="",0,MAX(0,TODAY()-G194))</f>
        <v>28</v>
      </c>
      <c r="K194" s="7" t="str">
        <f t="shared" ref="K194:K257" ca="1" si="15">IF(I194&lt;=0,"Current",IF(J194&lt;=30,"0-30 Days",IF(J194&lt;=60,"31-60 Days",IF(J194&lt;=90,"61-90 Days","90+ Days"))))</f>
        <v>0-30 Days</v>
      </c>
      <c r="L194" s="7" t="str">
        <f t="shared" ref="L194:L257" ca="1" si="16">IF(I194&lt;=0,"-",IF(J194&lt;=30,"Low",IF(J194&lt;=60,"Low-Medium",IF(J194&lt;=90,"Medium","HIGH RISK"))))</f>
        <v>Low</v>
      </c>
      <c r="M194" s="7"/>
      <c r="N194" s="7" t="str">
        <f>IF(MasterARReport[[#This Row],[Outstanding Amount]]=0, "PAID", "PENDING")</f>
        <v>PENDING</v>
      </c>
    </row>
    <row r="195" spans="1:14" x14ac:dyDescent="0.3">
      <c r="A195" s="37">
        <v>194</v>
      </c>
      <c r="B195" s="37" t="s">
        <v>14</v>
      </c>
      <c r="C195" s="38">
        <v>46129</v>
      </c>
      <c r="D195" s="39" t="s">
        <v>54</v>
      </c>
      <c r="E195" s="39" t="s">
        <v>55</v>
      </c>
      <c r="F195" s="40">
        <v>4427</v>
      </c>
      <c r="G195" s="41">
        <v>46154</v>
      </c>
      <c r="H195" s="42">
        <f>[1]PAYMENTS!C40</f>
        <v>4427</v>
      </c>
      <c r="I195" s="42">
        <f t="shared" si="13"/>
        <v>0</v>
      </c>
      <c r="J195" s="39">
        <f t="shared" ca="1" si="14"/>
        <v>19</v>
      </c>
      <c r="K195" s="39" t="str">
        <f t="shared" si="15"/>
        <v>Current</v>
      </c>
      <c r="L195" s="39" t="str">
        <f t="shared" si="16"/>
        <v>-</v>
      </c>
      <c r="M195" s="62" t="str">
        <f>[1]PAYMENTS!D40</f>
        <v>Paid by Cheque</v>
      </c>
      <c r="N195" s="7" t="str">
        <f>IF(MasterARReport[[#This Row],[Outstanding Amount]]=0, "PAID", "PENDING")</f>
        <v>PAID</v>
      </c>
    </row>
    <row r="196" spans="1:14" x14ac:dyDescent="0.3">
      <c r="A196" s="56">
        <v>195</v>
      </c>
      <c r="B196" s="56" t="s">
        <v>14</v>
      </c>
      <c r="C196" s="57">
        <v>46149</v>
      </c>
      <c r="D196" s="58" t="s">
        <v>56</v>
      </c>
      <c r="E196" s="58" t="s">
        <v>55</v>
      </c>
      <c r="F196" s="59">
        <v>2945</v>
      </c>
      <c r="G196" s="60">
        <v>46174</v>
      </c>
      <c r="H196" s="42">
        <f>[1]PAYMENTS!C41</f>
        <v>2945</v>
      </c>
      <c r="I196" s="61">
        <f t="shared" si="13"/>
        <v>0</v>
      </c>
      <c r="J196" s="58">
        <f t="shared" ca="1" si="14"/>
        <v>0</v>
      </c>
      <c r="K196" s="58" t="str">
        <f t="shared" si="15"/>
        <v>Current</v>
      </c>
      <c r="L196" s="58" t="str">
        <f t="shared" si="16"/>
        <v>-</v>
      </c>
      <c r="M196" s="62" t="str">
        <f>[1]PAYMENTS!D41</f>
        <v>Paid by Cheque</v>
      </c>
      <c r="N196" s="7" t="str">
        <f>IF(MasterARReport[[#This Row],[Outstanding Amount]]=0, "PAID", "PENDING")</f>
        <v>PAID</v>
      </c>
    </row>
    <row r="197" spans="1:14" x14ac:dyDescent="0.3">
      <c r="A197" s="31">
        <v>196</v>
      </c>
      <c r="B197" s="31" t="s">
        <v>14</v>
      </c>
      <c r="C197" s="32">
        <v>45915</v>
      </c>
      <c r="D197" s="33" t="s">
        <v>57</v>
      </c>
      <c r="E197" s="33" t="s">
        <v>58</v>
      </c>
      <c r="F197" s="34">
        <v>1771</v>
      </c>
      <c r="G197" s="35">
        <v>45940</v>
      </c>
      <c r="H197" s="36">
        <v>0</v>
      </c>
      <c r="I197" s="36">
        <f t="shared" si="13"/>
        <v>1771</v>
      </c>
      <c r="J197" s="33">
        <f t="shared" ca="1" si="14"/>
        <v>233</v>
      </c>
      <c r="K197" s="33" t="str">
        <f t="shared" ca="1" si="15"/>
        <v>90+ Days</v>
      </c>
      <c r="L197" s="33" t="str">
        <f t="shared" ca="1" si="16"/>
        <v>HIGH RISK</v>
      </c>
      <c r="M197" s="33" t="s">
        <v>59</v>
      </c>
      <c r="N197" s="7" t="str">
        <f>IF(MasterARReport[[#This Row],[Outstanding Amount]]=0, "PAID", "PENDING")</f>
        <v>PENDING</v>
      </c>
    </row>
    <row r="198" spans="1:14" x14ac:dyDescent="0.3">
      <c r="A198" s="56">
        <v>197</v>
      </c>
      <c r="B198" s="56" t="s">
        <v>14</v>
      </c>
      <c r="C198" s="57">
        <v>46158</v>
      </c>
      <c r="D198" s="58" t="s">
        <v>60</v>
      </c>
      <c r="E198" s="58" t="s">
        <v>58</v>
      </c>
      <c r="F198" s="59">
        <v>7266</v>
      </c>
      <c r="G198" s="60">
        <v>46183</v>
      </c>
      <c r="H198" s="61">
        <v>0</v>
      </c>
      <c r="I198" s="61">
        <f t="shared" si="13"/>
        <v>7266</v>
      </c>
      <c r="J198" s="58">
        <f t="shared" ca="1" si="14"/>
        <v>0</v>
      </c>
      <c r="K198" s="58" t="str">
        <f t="shared" ca="1" si="15"/>
        <v>0-30 Days</v>
      </c>
      <c r="L198" s="58" t="str">
        <f t="shared" ca="1" si="16"/>
        <v>Low</v>
      </c>
      <c r="M198" s="58"/>
      <c r="N198" s="7" t="str">
        <f>IF(MasterARReport[[#This Row],[Outstanding Amount]]=0, "PAID", "PENDING")</f>
        <v>PENDING</v>
      </c>
    </row>
    <row r="199" spans="1:14" x14ac:dyDescent="0.3">
      <c r="A199" s="56">
        <v>198</v>
      </c>
      <c r="B199" s="56" t="s">
        <v>14</v>
      </c>
      <c r="C199" s="57">
        <v>46158</v>
      </c>
      <c r="D199" s="58" t="s">
        <v>61</v>
      </c>
      <c r="E199" s="58" t="s">
        <v>58</v>
      </c>
      <c r="F199" s="59">
        <v>1244</v>
      </c>
      <c r="G199" s="60">
        <v>46183</v>
      </c>
      <c r="H199" s="61">
        <v>0</v>
      </c>
      <c r="I199" s="61">
        <f t="shared" si="13"/>
        <v>1244</v>
      </c>
      <c r="J199" s="58">
        <f t="shared" ca="1" si="14"/>
        <v>0</v>
      </c>
      <c r="K199" s="58" t="str">
        <f t="shared" ca="1" si="15"/>
        <v>0-30 Days</v>
      </c>
      <c r="L199" s="58" t="str">
        <f t="shared" ca="1" si="16"/>
        <v>Low</v>
      </c>
      <c r="M199" s="58"/>
      <c r="N199" s="7" t="str">
        <f>IF(MasterARReport[[#This Row],[Outstanding Amount]]=0, "PAID", "PENDING")</f>
        <v>PENDING</v>
      </c>
    </row>
    <row r="200" spans="1:14" x14ac:dyDescent="0.3">
      <c r="A200" s="56">
        <v>199</v>
      </c>
      <c r="B200" s="56" t="s">
        <v>14</v>
      </c>
      <c r="C200" s="57">
        <v>46158</v>
      </c>
      <c r="D200" s="58" t="s">
        <v>62</v>
      </c>
      <c r="E200" s="58" t="s">
        <v>58</v>
      </c>
      <c r="F200" s="59">
        <v>830</v>
      </c>
      <c r="G200" s="60">
        <v>46183</v>
      </c>
      <c r="H200" s="61">
        <v>0</v>
      </c>
      <c r="I200" s="61">
        <f t="shared" si="13"/>
        <v>830</v>
      </c>
      <c r="J200" s="58">
        <f t="shared" ca="1" si="14"/>
        <v>0</v>
      </c>
      <c r="K200" s="58" t="str">
        <f t="shared" ca="1" si="15"/>
        <v>0-30 Days</v>
      </c>
      <c r="L200" s="58" t="str">
        <f t="shared" ca="1" si="16"/>
        <v>Low</v>
      </c>
      <c r="M200" s="58"/>
      <c r="N200" s="7" t="str">
        <f>IF(MasterARReport[[#This Row],[Outstanding Amount]]=0, "PAID", "PENDING")</f>
        <v>PENDING</v>
      </c>
    </row>
    <row r="201" spans="1:14" x14ac:dyDescent="0.3">
      <c r="A201" s="31">
        <v>200</v>
      </c>
      <c r="B201" s="31" t="s">
        <v>14</v>
      </c>
      <c r="C201" s="32">
        <v>45985</v>
      </c>
      <c r="D201" s="33" t="s">
        <v>63</v>
      </c>
      <c r="E201" s="33" t="s">
        <v>64</v>
      </c>
      <c r="F201" s="34">
        <v>180</v>
      </c>
      <c r="G201" s="35">
        <v>46010</v>
      </c>
      <c r="H201" s="36">
        <v>0</v>
      </c>
      <c r="I201" s="36">
        <f t="shared" si="13"/>
        <v>180</v>
      </c>
      <c r="J201" s="33">
        <f t="shared" ca="1" si="14"/>
        <v>163</v>
      </c>
      <c r="K201" s="33" t="str">
        <f t="shared" ca="1" si="15"/>
        <v>90+ Days</v>
      </c>
      <c r="L201" s="33" t="str">
        <f t="shared" ca="1" si="16"/>
        <v>HIGH RISK</v>
      </c>
      <c r="M201" s="33"/>
      <c r="N201" s="7" t="str">
        <f>IF(MasterARReport[[#This Row],[Outstanding Amount]]=0, "PAID", "PENDING")</f>
        <v>PENDING</v>
      </c>
    </row>
    <row r="202" spans="1:14" x14ac:dyDescent="0.3">
      <c r="A202" s="20">
        <v>201</v>
      </c>
      <c r="B202" s="20" t="s">
        <v>14</v>
      </c>
      <c r="C202" s="21">
        <v>46092</v>
      </c>
      <c r="D202" s="22" t="s">
        <v>65</v>
      </c>
      <c r="E202" s="22" t="s">
        <v>64</v>
      </c>
      <c r="F202" s="23">
        <v>22195</v>
      </c>
      <c r="G202" s="24">
        <v>46117</v>
      </c>
      <c r="H202" s="25">
        <f>[1]PAYMENTS!C32</f>
        <v>22195</v>
      </c>
      <c r="I202" s="25">
        <f t="shared" si="13"/>
        <v>0</v>
      </c>
      <c r="J202" s="22">
        <f t="shared" ca="1" si="14"/>
        <v>56</v>
      </c>
      <c r="K202" s="22" t="str">
        <f t="shared" si="15"/>
        <v>Current</v>
      </c>
      <c r="L202" s="22" t="str">
        <f t="shared" si="16"/>
        <v>-</v>
      </c>
      <c r="M202" s="22" t="str">
        <f>[1]PAYMENTS!D32</f>
        <v>Paid by Cheque</v>
      </c>
      <c r="N202" s="7" t="str">
        <f>IF(MasterARReport[[#This Row],[Outstanding Amount]]=0, "PAID", "PENDING")</f>
        <v>PAID</v>
      </c>
    </row>
    <row r="203" spans="1:14" x14ac:dyDescent="0.3">
      <c r="A203" s="1">
        <v>202</v>
      </c>
      <c r="B203" s="1" t="s">
        <v>14</v>
      </c>
      <c r="C203" s="2">
        <v>46098</v>
      </c>
      <c r="D203" s="3" t="s">
        <v>66</v>
      </c>
      <c r="E203" s="3" t="s">
        <v>64</v>
      </c>
      <c r="F203" s="4">
        <v>15116</v>
      </c>
      <c r="G203" s="5">
        <v>46123</v>
      </c>
      <c r="H203" s="6">
        <f>[1]PAYMENTS!C33</f>
        <v>15116</v>
      </c>
      <c r="I203" s="6">
        <f t="shared" si="13"/>
        <v>0</v>
      </c>
      <c r="J203" s="3">
        <f t="shared" ca="1" si="14"/>
        <v>50</v>
      </c>
      <c r="K203" s="3" t="str">
        <f t="shared" si="15"/>
        <v>Current</v>
      </c>
      <c r="L203" s="3" t="str">
        <f t="shared" si="16"/>
        <v>-</v>
      </c>
      <c r="M203" s="3" t="str">
        <f>[1]PAYMENTS!D33</f>
        <v>Paid by Cheque</v>
      </c>
      <c r="N203" s="7" t="str">
        <f>IF(MasterARReport[[#This Row],[Outstanding Amount]]=0, "PAID", "PENDING")</f>
        <v>PAID</v>
      </c>
    </row>
    <row r="204" spans="1:14" x14ac:dyDescent="0.3">
      <c r="A204" s="8">
        <v>203</v>
      </c>
      <c r="B204" s="8" t="s">
        <v>14</v>
      </c>
      <c r="C204" s="9">
        <v>46010</v>
      </c>
      <c r="D204" s="10" t="s">
        <v>67</v>
      </c>
      <c r="E204" s="10" t="s">
        <v>68</v>
      </c>
      <c r="F204" s="11">
        <v>500</v>
      </c>
      <c r="G204" s="12">
        <v>46035</v>
      </c>
      <c r="H204" s="13">
        <v>0</v>
      </c>
      <c r="I204" s="13">
        <f t="shared" si="13"/>
        <v>500</v>
      </c>
      <c r="J204" s="10">
        <f t="shared" ca="1" si="14"/>
        <v>138</v>
      </c>
      <c r="K204" s="10" t="str">
        <f t="shared" ca="1" si="15"/>
        <v>90+ Days</v>
      </c>
      <c r="L204" s="10" t="str">
        <f t="shared" ca="1" si="16"/>
        <v>HIGH RISK</v>
      </c>
      <c r="M204" s="10"/>
      <c r="N204" s="7" t="str">
        <f>IF(MasterARReport[[#This Row],[Outstanding Amount]]=0, "PAID", "PENDING")</f>
        <v>PENDING</v>
      </c>
    </row>
    <row r="205" spans="1:14" x14ac:dyDescent="0.3">
      <c r="A205" s="1">
        <v>204</v>
      </c>
      <c r="B205" s="1" t="s">
        <v>14</v>
      </c>
      <c r="C205" s="2">
        <v>46098</v>
      </c>
      <c r="D205" s="3" t="s">
        <v>69</v>
      </c>
      <c r="E205" s="3" t="s">
        <v>70</v>
      </c>
      <c r="F205" s="4">
        <v>2440</v>
      </c>
      <c r="G205" s="5">
        <v>46123</v>
      </c>
      <c r="H205" s="6">
        <v>0</v>
      </c>
      <c r="I205" s="6">
        <f t="shared" si="13"/>
        <v>2440</v>
      </c>
      <c r="J205" s="3">
        <f t="shared" ca="1" si="14"/>
        <v>50</v>
      </c>
      <c r="K205" s="3" t="str">
        <f t="shared" ca="1" si="15"/>
        <v>31-60 Days</v>
      </c>
      <c r="L205" s="3" t="str">
        <f t="shared" ca="1" si="16"/>
        <v>Low-Medium</v>
      </c>
      <c r="M205" s="3" t="s">
        <v>71</v>
      </c>
      <c r="N205" s="7" t="str">
        <f>IF(MasterARReport[[#This Row],[Outstanding Amount]]=0, "PAID", "PENDING")</f>
        <v>PENDING</v>
      </c>
    </row>
    <row r="206" spans="1:14" x14ac:dyDescent="0.3">
      <c r="A206" s="20">
        <v>205</v>
      </c>
      <c r="B206" s="20" t="s">
        <v>14</v>
      </c>
      <c r="C206" s="21">
        <v>46112</v>
      </c>
      <c r="D206" s="22" t="s">
        <v>72</v>
      </c>
      <c r="E206" s="22" t="s">
        <v>73</v>
      </c>
      <c r="F206" s="23">
        <v>13321</v>
      </c>
      <c r="G206" s="24">
        <v>46137</v>
      </c>
      <c r="H206" s="25">
        <f>[1]PAYMENTS!C53</f>
        <v>13321</v>
      </c>
      <c r="I206" s="25">
        <f t="shared" si="13"/>
        <v>0</v>
      </c>
      <c r="J206" s="22">
        <f t="shared" ca="1" si="14"/>
        <v>36</v>
      </c>
      <c r="K206" s="22" t="str">
        <f t="shared" si="15"/>
        <v>Current</v>
      </c>
      <c r="L206" s="22" t="str">
        <f t="shared" si="16"/>
        <v>-</v>
      </c>
      <c r="M206" s="22" t="str">
        <f>[1]PAYMENTS!D53</f>
        <v xml:space="preserve">Paid Online </v>
      </c>
      <c r="N206" s="7" t="str">
        <f>IF(MasterARReport[[#This Row],[Outstanding Amount]]=0, "PAID", "PENDING")</f>
        <v>PAID</v>
      </c>
    </row>
    <row r="207" spans="1:14" x14ac:dyDescent="0.3">
      <c r="A207" s="1">
        <v>206</v>
      </c>
      <c r="B207" s="1" t="s">
        <v>14</v>
      </c>
      <c r="C207" s="2">
        <v>46107</v>
      </c>
      <c r="D207" s="3" t="s">
        <v>74</v>
      </c>
      <c r="E207" s="3" t="s">
        <v>75</v>
      </c>
      <c r="F207" s="4">
        <v>8855</v>
      </c>
      <c r="G207" s="5">
        <v>46132</v>
      </c>
      <c r="H207" s="6">
        <v>0</v>
      </c>
      <c r="I207" s="6">
        <f t="shared" si="13"/>
        <v>8855</v>
      </c>
      <c r="J207" s="3">
        <f t="shared" ca="1" si="14"/>
        <v>41</v>
      </c>
      <c r="K207" s="3" t="str">
        <f t="shared" ca="1" si="15"/>
        <v>31-60 Days</v>
      </c>
      <c r="L207" s="3" t="str">
        <f t="shared" ca="1" si="16"/>
        <v>Low-Medium</v>
      </c>
      <c r="M207" s="3" t="s">
        <v>76</v>
      </c>
      <c r="N207" s="7" t="str">
        <f>IF(MasterARReport[[#This Row],[Outstanding Amount]]=0, "PAID", "PENDING")</f>
        <v>PENDING</v>
      </c>
    </row>
    <row r="208" spans="1:14" x14ac:dyDescent="0.3">
      <c r="A208" s="20">
        <v>207</v>
      </c>
      <c r="B208" s="20" t="s">
        <v>14</v>
      </c>
      <c r="C208" s="21">
        <v>46099</v>
      </c>
      <c r="D208" s="22" t="s">
        <v>77</v>
      </c>
      <c r="E208" s="22" t="s">
        <v>78</v>
      </c>
      <c r="F208" s="23">
        <v>4079</v>
      </c>
      <c r="G208" s="24">
        <v>46124</v>
      </c>
      <c r="H208" s="25">
        <v>0</v>
      </c>
      <c r="I208" s="25">
        <f t="shared" si="13"/>
        <v>4079</v>
      </c>
      <c r="J208" s="22">
        <f t="shared" ca="1" si="14"/>
        <v>49</v>
      </c>
      <c r="K208" s="22" t="str">
        <f t="shared" ca="1" si="15"/>
        <v>31-60 Days</v>
      </c>
      <c r="L208" s="22" t="str">
        <f t="shared" ca="1" si="16"/>
        <v>Low-Medium</v>
      </c>
      <c r="M208" s="22"/>
      <c r="N208" s="7" t="str">
        <f>IF(MasterARReport[[#This Row],[Outstanding Amount]]=0, "PAID", "PENDING")</f>
        <v>PENDING</v>
      </c>
    </row>
    <row r="209" spans="1:14" x14ac:dyDescent="0.3">
      <c r="A209" s="31">
        <v>208</v>
      </c>
      <c r="B209" s="31" t="s">
        <v>14</v>
      </c>
      <c r="C209" s="32">
        <v>45968</v>
      </c>
      <c r="D209" s="33" t="s">
        <v>79</v>
      </c>
      <c r="E209" s="33" t="s">
        <v>80</v>
      </c>
      <c r="F209" s="34">
        <v>1680</v>
      </c>
      <c r="G209" s="35">
        <v>45993</v>
      </c>
      <c r="H209" s="36">
        <v>0</v>
      </c>
      <c r="I209" s="36">
        <f t="shared" si="13"/>
        <v>1680</v>
      </c>
      <c r="J209" s="33">
        <f t="shared" ca="1" si="14"/>
        <v>180</v>
      </c>
      <c r="K209" s="33" t="str">
        <f t="shared" ca="1" si="15"/>
        <v>90+ Days</v>
      </c>
      <c r="L209" s="33" t="str">
        <f t="shared" ca="1" si="16"/>
        <v>HIGH RISK</v>
      </c>
      <c r="M209" s="33" t="s">
        <v>81</v>
      </c>
      <c r="N209" s="7" t="str">
        <f>IF(MasterARReport[[#This Row],[Outstanding Amount]]=0, "PAID", "PENDING")</f>
        <v>PENDING</v>
      </c>
    </row>
    <row r="210" spans="1:14" x14ac:dyDescent="0.3">
      <c r="A210" s="20">
        <v>209</v>
      </c>
      <c r="B210" s="20" t="s">
        <v>14</v>
      </c>
      <c r="C210" s="21">
        <v>46097</v>
      </c>
      <c r="D210" s="22" t="s">
        <v>82</v>
      </c>
      <c r="E210" s="22" t="s">
        <v>83</v>
      </c>
      <c r="F210" s="23">
        <v>6289</v>
      </c>
      <c r="G210" s="24">
        <v>46122</v>
      </c>
      <c r="H210" s="25">
        <v>0</v>
      </c>
      <c r="I210" s="25">
        <f t="shared" si="13"/>
        <v>6289</v>
      </c>
      <c r="J210" s="22">
        <f t="shared" ca="1" si="14"/>
        <v>51</v>
      </c>
      <c r="K210" s="22" t="str">
        <f t="shared" ca="1" si="15"/>
        <v>31-60 Days</v>
      </c>
      <c r="L210" s="22" t="str">
        <f t="shared" ca="1" si="16"/>
        <v>Low-Medium</v>
      </c>
      <c r="M210" s="22" t="s">
        <v>84</v>
      </c>
      <c r="N210" s="7" t="str">
        <f>IF(MasterARReport[[#This Row],[Outstanding Amount]]=0, "PAID", "PENDING")</f>
        <v>PENDING</v>
      </c>
    </row>
    <row r="211" spans="1:14" x14ac:dyDescent="0.3">
      <c r="A211" s="1">
        <v>210</v>
      </c>
      <c r="B211" s="1" t="s">
        <v>14</v>
      </c>
      <c r="C211" s="2">
        <v>46084</v>
      </c>
      <c r="D211" s="3" t="s">
        <v>85</v>
      </c>
      <c r="E211" s="3" t="s">
        <v>86</v>
      </c>
      <c r="F211" s="4">
        <v>9268</v>
      </c>
      <c r="G211" s="5">
        <v>46109</v>
      </c>
      <c r="H211" s="6">
        <f>[1]PAYMENTS!C48</f>
        <v>9268</v>
      </c>
      <c r="I211" s="6">
        <f t="shared" si="13"/>
        <v>0</v>
      </c>
      <c r="J211" s="3">
        <f t="shared" ca="1" si="14"/>
        <v>64</v>
      </c>
      <c r="K211" s="3" t="str">
        <f t="shared" si="15"/>
        <v>Current</v>
      </c>
      <c r="L211" s="3" t="str">
        <f t="shared" si="16"/>
        <v>-</v>
      </c>
      <c r="M211" s="3" t="str">
        <f>[1]PAYMENTS!D48</f>
        <v>Paid by Cheque</v>
      </c>
      <c r="N211" s="7" t="str">
        <f>IF(MasterARReport[[#This Row],[Outstanding Amount]]=0, "PAID", "PENDING")</f>
        <v>PAID</v>
      </c>
    </row>
    <row r="212" spans="1:14" x14ac:dyDescent="0.3">
      <c r="A212" s="20">
        <v>211</v>
      </c>
      <c r="B212" s="20" t="s">
        <v>14</v>
      </c>
      <c r="C212" s="21">
        <v>46111</v>
      </c>
      <c r="D212" s="22" t="s">
        <v>87</v>
      </c>
      <c r="E212" s="22" t="s">
        <v>86</v>
      </c>
      <c r="F212" s="23">
        <v>7960</v>
      </c>
      <c r="G212" s="24">
        <v>46136</v>
      </c>
      <c r="H212" s="25">
        <f>[1]PAYMENTS!C49</f>
        <v>7960</v>
      </c>
      <c r="I212" s="25">
        <f t="shared" si="13"/>
        <v>0</v>
      </c>
      <c r="J212" s="22">
        <f t="shared" ca="1" si="14"/>
        <v>37</v>
      </c>
      <c r="K212" s="22" t="str">
        <f t="shared" si="15"/>
        <v>Current</v>
      </c>
      <c r="L212" s="22" t="str">
        <f t="shared" si="16"/>
        <v>-</v>
      </c>
      <c r="M212" s="22" t="str">
        <f>[1]PAYMENTS!D49</f>
        <v>Paid by Cheque</v>
      </c>
      <c r="N212" s="7" t="str">
        <f>IF(MasterARReport[[#This Row],[Outstanding Amount]]=0, "PAID", "PENDING")</f>
        <v>PAID</v>
      </c>
    </row>
    <row r="213" spans="1:14" x14ac:dyDescent="0.3">
      <c r="A213" s="31">
        <v>212</v>
      </c>
      <c r="B213" s="31" t="s">
        <v>14</v>
      </c>
      <c r="C213" s="32">
        <v>46051</v>
      </c>
      <c r="D213" s="33" t="s">
        <v>88</v>
      </c>
      <c r="E213" s="33" t="s">
        <v>89</v>
      </c>
      <c r="F213" s="34">
        <v>720</v>
      </c>
      <c r="G213" s="35">
        <v>46076</v>
      </c>
      <c r="H213" s="36">
        <v>0</v>
      </c>
      <c r="I213" s="36">
        <f t="shared" si="13"/>
        <v>720</v>
      </c>
      <c r="J213" s="33">
        <f t="shared" ca="1" si="14"/>
        <v>97</v>
      </c>
      <c r="K213" s="33" t="str">
        <f t="shared" ca="1" si="15"/>
        <v>90+ Days</v>
      </c>
      <c r="L213" s="33" t="str">
        <f t="shared" ca="1" si="16"/>
        <v>HIGH RISK</v>
      </c>
      <c r="M213" s="33"/>
      <c r="N213" s="7" t="str">
        <f>IF(MasterARReport[[#This Row],[Outstanding Amount]]=0, "PAID", "PENDING")</f>
        <v>PENDING</v>
      </c>
    </row>
    <row r="214" spans="1:14" x14ac:dyDescent="0.3">
      <c r="A214" s="20">
        <v>213</v>
      </c>
      <c r="B214" s="20" t="s">
        <v>14</v>
      </c>
      <c r="C214" s="21">
        <v>46088</v>
      </c>
      <c r="D214" s="22" t="s">
        <v>90</v>
      </c>
      <c r="E214" s="22" t="s">
        <v>89</v>
      </c>
      <c r="F214" s="23">
        <v>15106</v>
      </c>
      <c r="G214" s="24">
        <v>46113</v>
      </c>
      <c r="H214" s="25">
        <v>0</v>
      </c>
      <c r="I214" s="25">
        <f t="shared" si="13"/>
        <v>15106</v>
      </c>
      <c r="J214" s="22">
        <f t="shared" ca="1" si="14"/>
        <v>60</v>
      </c>
      <c r="K214" s="22" t="str">
        <f t="shared" ca="1" si="15"/>
        <v>31-60 Days</v>
      </c>
      <c r="L214" s="22" t="str">
        <f t="shared" ca="1" si="16"/>
        <v>Low-Medium</v>
      </c>
      <c r="M214" s="22" t="s">
        <v>91</v>
      </c>
      <c r="N214" s="7" t="str">
        <f>IF(MasterARReport[[#This Row],[Outstanding Amount]]=0, "PAID", "PENDING")</f>
        <v>PENDING</v>
      </c>
    </row>
    <row r="215" spans="1:14" x14ac:dyDescent="0.3">
      <c r="A215" s="31">
        <v>214</v>
      </c>
      <c r="B215" s="31" t="s">
        <v>14</v>
      </c>
      <c r="C215" s="32">
        <v>45909</v>
      </c>
      <c r="D215" s="33" t="s">
        <v>92</v>
      </c>
      <c r="E215" s="33" t="s">
        <v>93</v>
      </c>
      <c r="F215" s="34">
        <v>7800</v>
      </c>
      <c r="G215" s="35">
        <v>45934</v>
      </c>
      <c r="H215" s="36">
        <v>0</v>
      </c>
      <c r="I215" s="36">
        <f t="shared" si="13"/>
        <v>7800</v>
      </c>
      <c r="J215" s="33">
        <f t="shared" ca="1" si="14"/>
        <v>239</v>
      </c>
      <c r="K215" s="33" t="str">
        <f t="shared" ca="1" si="15"/>
        <v>90+ Days</v>
      </c>
      <c r="L215" s="33" t="str">
        <f t="shared" ca="1" si="16"/>
        <v>HIGH RISK</v>
      </c>
      <c r="M215" s="33" t="s">
        <v>71</v>
      </c>
      <c r="N215" s="7" t="str">
        <f>IF(MasterARReport[[#This Row],[Outstanding Amount]]=0, "PAID", "PENDING")</f>
        <v>PENDING</v>
      </c>
    </row>
    <row r="216" spans="1:14" x14ac:dyDescent="0.3">
      <c r="A216" s="43">
        <v>215</v>
      </c>
      <c r="B216" s="43" t="s">
        <v>14</v>
      </c>
      <c r="C216" s="44">
        <v>46065</v>
      </c>
      <c r="D216" s="45" t="s">
        <v>94</v>
      </c>
      <c r="E216" s="45" t="s">
        <v>95</v>
      </c>
      <c r="F216" s="46">
        <v>31317</v>
      </c>
      <c r="G216" s="47">
        <v>46090</v>
      </c>
      <c r="H216" s="48">
        <f>[1]PAYMENTS!C14</f>
        <v>30441</v>
      </c>
      <c r="I216" s="48">
        <f t="shared" si="13"/>
        <v>876</v>
      </c>
      <c r="J216" s="45">
        <f t="shared" ca="1" si="14"/>
        <v>83</v>
      </c>
      <c r="K216" s="45" t="str">
        <f t="shared" ca="1" si="15"/>
        <v>61-90 Days</v>
      </c>
      <c r="L216" s="45" t="str">
        <f t="shared" ca="1" si="16"/>
        <v>Medium</v>
      </c>
      <c r="M216" s="45" t="str">
        <f>[1]PAYMENTS!D14</f>
        <v>Paid by Cheque - Paid Less</v>
      </c>
      <c r="N216" s="7" t="str">
        <f>IF(MasterARReport[[#This Row],[Outstanding Amount]]=0, "PAID", "PENDING")</f>
        <v>PENDING</v>
      </c>
    </row>
    <row r="217" spans="1:14" x14ac:dyDescent="0.3">
      <c r="A217" s="31">
        <v>216</v>
      </c>
      <c r="B217" s="31" t="s">
        <v>14</v>
      </c>
      <c r="C217" s="32">
        <v>45989</v>
      </c>
      <c r="D217" s="33" t="s">
        <v>96</v>
      </c>
      <c r="E217" s="33" t="s">
        <v>97</v>
      </c>
      <c r="F217" s="34">
        <v>9440</v>
      </c>
      <c r="G217" s="35">
        <v>46014</v>
      </c>
      <c r="H217" s="36">
        <v>0</v>
      </c>
      <c r="I217" s="36">
        <f t="shared" si="13"/>
        <v>9440</v>
      </c>
      <c r="J217" s="33">
        <f t="shared" ca="1" si="14"/>
        <v>159</v>
      </c>
      <c r="K217" s="33" t="str">
        <f t="shared" ca="1" si="15"/>
        <v>90+ Days</v>
      </c>
      <c r="L217" s="33" t="str">
        <f t="shared" ca="1" si="16"/>
        <v>HIGH RISK</v>
      </c>
      <c r="M217" s="33" t="s">
        <v>98</v>
      </c>
      <c r="N217" s="7" t="str">
        <f>IF(MasterARReport[[#This Row],[Outstanding Amount]]=0, "PAID", "PENDING")</f>
        <v>PENDING</v>
      </c>
    </row>
    <row r="218" spans="1:14" x14ac:dyDescent="0.3">
      <c r="A218" s="8">
        <v>217</v>
      </c>
      <c r="B218" s="8" t="s">
        <v>14</v>
      </c>
      <c r="C218" s="9">
        <v>46021</v>
      </c>
      <c r="D218" s="10" t="s">
        <v>99</v>
      </c>
      <c r="E218" s="10" t="s">
        <v>97</v>
      </c>
      <c r="F218" s="11">
        <v>643</v>
      </c>
      <c r="G218" s="12">
        <v>46046</v>
      </c>
      <c r="H218" s="13">
        <f>[1]PAYMENTS!C51</f>
        <v>643</v>
      </c>
      <c r="I218" s="13">
        <f t="shared" si="13"/>
        <v>0</v>
      </c>
      <c r="J218" s="10">
        <f t="shared" ca="1" si="14"/>
        <v>127</v>
      </c>
      <c r="K218" s="10" t="str">
        <f t="shared" si="15"/>
        <v>Current</v>
      </c>
      <c r="L218" s="10" t="str">
        <f t="shared" si="16"/>
        <v>-</v>
      </c>
      <c r="M218" s="10" t="str">
        <f>[1]PAYMENTS!D51</f>
        <v xml:space="preserve">Paid Online </v>
      </c>
      <c r="N218" s="7" t="str">
        <f>IF(MasterARReport[[#This Row],[Outstanding Amount]]=0, "PAID", "PENDING")</f>
        <v>PAID</v>
      </c>
    </row>
    <row r="219" spans="1:14" x14ac:dyDescent="0.3">
      <c r="A219" s="31">
        <v>218</v>
      </c>
      <c r="B219" s="31" t="s">
        <v>14</v>
      </c>
      <c r="C219" s="32">
        <v>46046</v>
      </c>
      <c r="D219" s="33" t="s">
        <v>100</v>
      </c>
      <c r="E219" s="33" t="s">
        <v>101</v>
      </c>
      <c r="F219" s="34">
        <v>49017</v>
      </c>
      <c r="G219" s="35">
        <v>46071</v>
      </c>
      <c r="H219" s="36">
        <v>49017</v>
      </c>
      <c r="I219" s="36">
        <f t="shared" si="13"/>
        <v>0</v>
      </c>
      <c r="J219" s="33">
        <f t="shared" ca="1" si="14"/>
        <v>102</v>
      </c>
      <c r="K219" s="33" t="str">
        <f t="shared" si="15"/>
        <v>Current</v>
      </c>
      <c r="L219" s="33" t="str">
        <f t="shared" si="16"/>
        <v>-</v>
      </c>
      <c r="M219" s="33" t="s">
        <v>102</v>
      </c>
      <c r="N219" s="7" t="str">
        <f>IF(MasterARReport[[#This Row],[Outstanding Amount]]=0, "PAID", "PENDING")</f>
        <v>PAID</v>
      </c>
    </row>
    <row r="220" spans="1:14" x14ac:dyDescent="0.3">
      <c r="A220" s="20">
        <v>219</v>
      </c>
      <c r="B220" s="20" t="s">
        <v>14</v>
      </c>
      <c r="C220" s="21">
        <v>46083</v>
      </c>
      <c r="D220" s="22" t="s">
        <v>103</v>
      </c>
      <c r="E220" s="22" t="s">
        <v>104</v>
      </c>
      <c r="F220" s="23">
        <v>14106</v>
      </c>
      <c r="G220" s="24">
        <v>46108</v>
      </c>
      <c r="H220" s="25">
        <v>0</v>
      </c>
      <c r="I220" s="25">
        <f t="shared" si="13"/>
        <v>14106</v>
      </c>
      <c r="J220" s="22">
        <f t="shared" ca="1" si="14"/>
        <v>65</v>
      </c>
      <c r="K220" s="22" t="str">
        <f t="shared" ca="1" si="15"/>
        <v>61-90 Days</v>
      </c>
      <c r="L220" s="22" t="str">
        <f t="shared" ca="1" si="16"/>
        <v>Medium</v>
      </c>
      <c r="M220" s="22" t="s">
        <v>105</v>
      </c>
      <c r="N220" s="7" t="str">
        <f>IF(MasterARReport[[#This Row],[Outstanding Amount]]=0, "PAID", "PENDING")</f>
        <v>PENDING</v>
      </c>
    </row>
    <row r="221" spans="1:14" x14ac:dyDescent="0.3">
      <c r="A221" s="14">
        <v>220</v>
      </c>
      <c r="B221" s="14" t="s">
        <v>14</v>
      </c>
      <c r="C221" s="15">
        <v>46076</v>
      </c>
      <c r="D221" s="16" t="s">
        <v>106</v>
      </c>
      <c r="E221" s="16" t="s">
        <v>107</v>
      </c>
      <c r="F221" s="17">
        <v>9399</v>
      </c>
      <c r="G221" s="18">
        <v>46101</v>
      </c>
      <c r="H221" s="19">
        <v>9399</v>
      </c>
      <c r="I221" s="19">
        <f t="shared" si="13"/>
        <v>0</v>
      </c>
      <c r="J221" s="16">
        <f t="shared" ca="1" si="14"/>
        <v>72</v>
      </c>
      <c r="K221" s="16" t="str">
        <f t="shared" si="15"/>
        <v>Current</v>
      </c>
      <c r="L221" s="16" t="str">
        <f t="shared" si="16"/>
        <v>-</v>
      </c>
      <c r="M221" s="16" t="str">
        <f>[1]PAYMENTS!D30</f>
        <v>Paid Online - Rest stock returned</v>
      </c>
      <c r="N221" s="7" t="str">
        <f>IF(MasterARReport[[#This Row],[Outstanding Amount]]=0, "PAID", "PENDING")</f>
        <v>PAID</v>
      </c>
    </row>
    <row r="222" spans="1:14" x14ac:dyDescent="0.3">
      <c r="A222" s="26">
        <v>221</v>
      </c>
      <c r="B222" s="26" t="s">
        <v>14</v>
      </c>
      <c r="C222" s="27">
        <v>46133</v>
      </c>
      <c r="D222" s="7" t="s">
        <v>108</v>
      </c>
      <c r="E222" s="7" t="s">
        <v>109</v>
      </c>
      <c r="F222" s="28">
        <v>670</v>
      </c>
      <c r="G222" s="29">
        <v>46158</v>
      </c>
      <c r="H222" s="30">
        <v>0</v>
      </c>
      <c r="I222" s="30">
        <f t="shared" si="13"/>
        <v>670</v>
      </c>
      <c r="J222" s="7">
        <f t="shared" ca="1" si="14"/>
        <v>15</v>
      </c>
      <c r="K222" s="7" t="str">
        <f t="shared" ca="1" si="15"/>
        <v>0-30 Days</v>
      </c>
      <c r="L222" s="7" t="str">
        <f t="shared" ca="1" si="16"/>
        <v>Low</v>
      </c>
      <c r="M222" s="7"/>
      <c r="N222" s="7" t="str">
        <f>IF(MasterARReport[[#This Row],[Outstanding Amount]]=0, "PAID", "PENDING")</f>
        <v>PENDING</v>
      </c>
    </row>
    <row r="223" spans="1:14" x14ac:dyDescent="0.3">
      <c r="A223" s="14">
        <v>222</v>
      </c>
      <c r="B223" s="14" t="s">
        <v>14</v>
      </c>
      <c r="C223" s="15">
        <v>46057</v>
      </c>
      <c r="D223" s="16" t="s">
        <v>110</v>
      </c>
      <c r="E223" s="16" t="s">
        <v>111</v>
      </c>
      <c r="F223" s="17">
        <v>5370</v>
      </c>
      <c r="G223" s="18">
        <v>46082</v>
      </c>
      <c r="H223" s="19">
        <v>0</v>
      </c>
      <c r="I223" s="19">
        <f t="shared" si="13"/>
        <v>5370</v>
      </c>
      <c r="J223" s="16">
        <f t="shared" ca="1" si="14"/>
        <v>91</v>
      </c>
      <c r="K223" s="16" t="str">
        <f t="shared" ca="1" si="15"/>
        <v>90+ Days</v>
      </c>
      <c r="L223" s="16" t="str">
        <f t="shared" ca="1" si="16"/>
        <v>HIGH RISK</v>
      </c>
      <c r="M223" s="16" t="s">
        <v>37</v>
      </c>
      <c r="N223" s="7" t="str">
        <f>IF(MasterARReport[[#This Row],[Outstanding Amount]]=0, "PAID", "PENDING")</f>
        <v>PENDING</v>
      </c>
    </row>
    <row r="224" spans="1:14" x14ac:dyDescent="0.3">
      <c r="A224" s="8">
        <v>223</v>
      </c>
      <c r="B224" s="8" t="s">
        <v>14</v>
      </c>
      <c r="C224" s="9">
        <v>45968</v>
      </c>
      <c r="D224" s="10" t="s">
        <v>112</v>
      </c>
      <c r="E224" s="10" t="s">
        <v>113</v>
      </c>
      <c r="F224" s="11">
        <v>5248</v>
      </c>
      <c r="G224" s="12">
        <v>45993</v>
      </c>
      <c r="H224" s="13">
        <v>0</v>
      </c>
      <c r="I224" s="13">
        <f t="shared" si="13"/>
        <v>5248</v>
      </c>
      <c r="J224" s="10">
        <f t="shared" ca="1" si="14"/>
        <v>180</v>
      </c>
      <c r="K224" s="10" t="str">
        <f t="shared" ca="1" si="15"/>
        <v>90+ Days</v>
      </c>
      <c r="L224" s="10" t="str">
        <f t="shared" ca="1" si="16"/>
        <v>HIGH RISK</v>
      </c>
      <c r="M224" s="10" t="s">
        <v>114</v>
      </c>
      <c r="N224" s="7" t="str">
        <f>IF(MasterARReport[[#This Row],[Outstanding Amount]]=0, "PAID", "PENDING")</f>
        <v>PENDING</v>
      </c>
    </row>
    <row r="225" spans="1:14" x14ac:dyDescent="0.3">
      <c r="A225" s="31">
        <v>224</v>
      </c>
      <c r="B225" s="31" t="s">
        <v>14</v>
      </c>
      <c r="C225" s="32">
        <v>45981</v>
      </c>
      <c r="D225" s="33" t="s">
        <v>115</v>
      </c>
      <c r="E225" s="33" t="s">
        <v>113</v>
      </c>
      <c r="F225" s="34">
        <v>1170</v>
      </c>
      <c r="G225" s="35">
        <v>46006</v>
      </c>
      <c r="H225" s="36">
        <v>0</v>
      </c>
      <c r="I225" s="36">
        <f t="shared" si="13"/>
        <v>1170</v>
      </c>
      <c r="J225" s="33">
        <f t="shared" ca="1" si="14"/>
        <v>167</v>
      </c>
      <c r="K225" s="33" t="str">
        <f t="shared" ca="1" si="15"/>
        <v>90+ Days</v>
      </c>
      <c r="L225" s="33" t="str">
        <f t="shared" ca="1" si="16"/>
        <v>HIGH RISK</v>
      </c>
      <c r="M225" s="33" t="s">
        <v>114</v>
      </c>
      <c r="N225" s="7" t="str">
        <f>IF(MasterARReport[[#This Row],[Outstanding Amount]]=0, "PAID", "PENDING")</f>
        <v>PENDING</v>
      </c>
    </row>
    <row r="226" spans="1:14" x14ac:dyDescent="0.3">
      <c r="A226" s="8">
        <v>225</v>
      </c>
      <c r="B226" s="8" t="s">
        <v>14</v>
      </c>
      <c r="C226" s="9">
        <v>45987</v>
      </c>
      <c r="D226" s="10" t="s">
        <v>116</v>
      </c>
      <c r="E226" s="10" t="s">
        <v>113</v>
      </c>
      <c r="F226" s="11">
        <v>6342</v>
      </c>
      <c r="G226" s="12">
        <v>46012</v>
      </c>
      <c r="H226" s="13">
        <v>0</v>
      </c>
      <c r="I226" s="13">
        <f t="shared" si="13"/>
        <v>6342</v>
      </c>
      <c r="J226" s="10">
        <f t="shared" ca="1" si="14"/>
        <v>161</v>
      </c>
      <c r="K226" s="10" t="str">
        <f t="shared" ca="1" si="15"/>
        <v>90+ Days</v>
      </c>
      <c r="L226" s="10" t="str">
        <f t="shared" ca="1" si="16"/>
        <v>HIGH RISK</v>
      </c>
      <c r="M226" s="10" t="s">
        <v>114</v>
      </c>
      <c r="N226" s="7" t="str">
        <f>IF(MasterARReport[[#This Row],[Outstanding Amount]]=0, "PAID", "PENDING")</f>
        <v>PENDING</v>
      </c>
    </row>
    <row r="227" spans="1:14" x14ac:dyDescent="0.3">
      <c r="A227" s="31">
        <v>226</v>
      </c>
      <c r="B227" s="31" t="s">
        <v>14</v>
      </c>
      <c r="C227" s="32">
        <v>46049</v>
      </c>
      <c r="D227" s="33" t="s">
        <v>117</v>
      </c>
      <c r="E227" s="33" t="s">
        <v>113</v>
      </c>
      <c r="F227" s="34">
        <v>47824</v>
      </c>
      <c r="G227" s="35">
        <v>46074</v>
      </c>
      <c r="H227" s="36">
        <v>0</v>
      </c>
      <c r="I227" s="36">
        <f t="shared" si="13"/>
        <v>47824</v>
      </c>
      <c r="J227" s="33">
        <f t="shared" ca="1" si="14"/>
        <v>99</v>
      </c>
      <c r="K227" s="33" t="str">
        <f t="shared" ca="1" si="15"/>
        <v>90+ Days</v>
      </c>
      <c r="L227" s="33" t="str">
        <f t="shared" ca="1" si="16"/>
        <v>HIGH RISK</v>
      </c>
      <c r="M227" s="33" t="s">
        <v>114</v>
      </c>
      <c r="N227" s="7" t="str">
        <f>IF(MasterARReport[[#This Row],[Outstanding Amount]]=0, "PAID", "PENDING")</f>
        <v>PENDING</v>
      </c>
    </row>
    <row r="228" spans="1:14" x14ac:dyDescent="0.3">
      <c r="A228" s="8">
        <v>227</v>
      </c>
      <c r="B228" s="8" t="s">
        <v>14</v>
      </c>
      <c r="C228" s="9">
        <v>46052</v>
      </c>
      <c r="D228" s="10" t="s">
        <v>118</v>
      </c>
      <c r="E228" s="10" t="s">
        <v>119</v>
      </c>
      <c r="F228" s="11">
        <v>25760</v>
      </c>
      <c r="G228" s="12">
        <v>46077</v>
      </c>
      <c r="H228" s="13">
        <v>0</v>
      </c>
      <c r="I228" s="13">
        <f t="shared" si="13"/>
        <v>25760</v>
      </c>
      <c r="J228" s="10">
        <f t="shared" ca="1" si="14"/>
        <v>96</v>
      </c>
      <c r="K228" s="10" t="str">
        <f t="shared" ca="1" si="15"/>
        <v>90+ Days</v>
      </c>
      <c r="L228" s="10" t="str">
        <f t="shared" ca="1" si="16"/>
        <v>HIGH RISK</v>
      </c>
      <c r="M228" s="10" t="s">
        <v>120</v>
      </c>
      <c r="N228" s="7" t="str">
        <f>IF(MasterARReport[[#This Row],[Outstanding Amount]]=0, "PAID", "PENDING")</f>
        <v>PENDING</v>
      </c>
    </row>
    <row r="229" spans="1:14" x14ac:dyDescent="0.3">
      <c r="A229" s="31">
        <v>228</v>
      </c>
      <c r="B229" s="31" t="s">
        <v>14</v>
      </c>
      <c r="C229" s="32">
        <v>46007</v>
      </c>
      <c r="D229" s="33" t="s">
        <v>121</v>
      </c>
      <c r="E229" s="33" t="s">
        <v>122</v>
      </c>
      <c r="F229" s="34">
        <v>100</v>
      </c>
      <c r="G229" s="35">
        <v>46032</v>
      </c>
      <c r="H229" s="36">
        <v>0</v>
      </c>
      <c r="I229" s="36">
        <f t="shared" si="13"/>
        <v>100</v>
      </c>
      <c r="J229" s="33">
        <f t="shared" ca="1" si="14"/>
        <v>141</v>
      </c>
      <c r="K229" s="33" t="str">
        <f t="shared" ca="1" si="15"/>
        <v>90+ Days</v>
      </c>
      <c r="L229" s="33" t="str">
        <f t="shared" ca="1" si="16"/>
        <v>HIGH RISK</v>
      </c>
      <c r="M229" s="33"/>
      <c r="N229" s="7" t="str">
        <f>IF(MasterARReport[[#This Row],[Outstanding Amount]]=0, "PAID", "PENDING")</f>
        <v>PENDING</v>
      </c>
    </row>
    <row r="230" spans="1:14" x14ac:dyDescent="0.3">
      <c r="A230" s="26">
        <v>229</v>
      </c>
      <c r="B230" s="26" t="s">
        <v>14</v>
      </c>
      <c r="C230" s="27">
        <v>46129</v>
      </c>
      <c r="D230" s="7" t="s">
        <v>123</v>
      </c>
      <c r="E230" s="7" t="s">
        <v>124</v>
      </c>
      <c r="F230" s="28">
        <v>5517</v>
      </c>
      <c r="G230" s="29">
        <v>46154</v>
      </c>
      <c r="H230" s="30">
        <v>0</v>
      </c>
      <c r="I230" s="30">
        <f t="shared" si="13"/>
        <v>5517</v>
      </c>
      <c r="J230" s="7">
        <f t="shared" ca="1" si="14"/>
        <v>19</v>
      </c>
      <c r="K230" s="7" t="str">
        <f t="shared" ca="1" si="15"/>
        <v>0-30 Days</v>
      </c>
      <c r="L230" s="7" t="str">
        <f t="shared" ca="1" si="16"/>
        <v>Low</v>
      </c>
      <c r="M230" s="7"/>
      <c r="N230" s="7" t="str">
        <f>IF(MasterARReport[[#This Row],[Outstanding Amount]]=0, "PAID", "PENDING")</f>
        <v>PENDING</v>
      </c>
    </row>
    <row r="231" spans="1:14" x14ac:dyDescent="0.3">
      <c r="A231" s="1">
        <v>230</v>
      </c>
      <c r="B231" s="1" t="s">
        <v>14</v>
      </c>
      <c r="C231" s="2">
        <v>46105</v>
      </c>
      <c r="D231" s="3" t="s">
        <v>125</v>
      </c>
      <c r="E231" s="3" t="s">
        <v>126</v>
      </c>
      <c r="F231" s="4">
        <v>12031</v>
      </c>
      <c r="G231" s="5">
        <v>46130</v>
      </c>
      <c r="H231" s="6">
        <v>0</v>
      </c>
      <c r="I231" s="6">
        <f t="shared" si="13"/>
        <v>12031</v>
      </c>
      <c r="J231" s="3">
        <f t="shared" ca="1" si="14"/>
        <v>43</v>
      </c>
      <c r="K231" s="3" t="str">
        <f t="shared" ca="1" si="15"/>
        <v>31-60 Days</v>
      </c>
      <c r="L231" s="3" t="str">
        <f t="shared" ca="1" si="16"/>
        <v>Low-Medium</v>
      </c>
      <c r="M231" s="3" t="s">
        <v>127</v>
      </c>
      <c r="N231" s="7" t="str">
        <f>IF(MasterARReport[[#This Row],[Outstanding Amount]]=0, "PAID", "PENDING")</f>
        <v>PENDING</v>
      </c>
    </row>
    <row r="232" spans="1:14" x14ac:dyDescent="0.3">
      <c r="A232" s="26">
        <v>231</v>
      </c>
      <c r="B232" s="26" t="s">
        <v>14</v>
      </c>
      <c r="C232" s="27">
        <v>46122</v>
      </c>
      <c r="D232" s="7" t="s">
        <v>128</v>
      </c>
      <c r="E232" s="7" t="s">
        <v>126</v>
      </c>
      <c r="F232" s="28">
        <v>6100</v>
      </c>
      <c r="G232" s="29">
        <v>46147</v>
      </c>
      <c r="H232" s="30">
        <v>0</v>
      </c>
      <c r="I232" s="30">
        <f t="shared" si="13"/>
        <v>6100</v>
      </c>
      <c r="J232" s="7">
        <f t="shared" ca="1" si="14"/>
        <v>26</v>
      </c>
      <c r="K232" s="7" t="str">
        <f t="shared" ca="1" si="15"/>
        <v>0-30 Days</v>
      </c>
      <c r="L232" s="7" t="str">
        <f t="shared" ca="1" si="16"/>
        <v>Low</v>
      </c>
      <c r="M232" s="7" t="s">
        <v>127</v>
      </c>
      <c r="N232" s="7" t="str">
        <f>IF(MasterARReport[[#This Row],[Outstanding Amount]]=0, "PAID", "PENDING")</f>
        <v>PENDING</v>
      </c>
    </row>
    <row r="233" spans="1:14" x14ac:dyDescent="0.3">
      <c r="A233" s="37">
        <v>232</v>
      </c>
      <c r="B233" s="37" t="s">
        <v>14</v>
      </c>
      <c r="C233" s="38">
        <v>46137</v>
      </c>
      <c r="D233" s="39" t="s">
        <v>129</v>
      </c>
      <c r="E233" s="39" t="s">
        <v>126</v>
      </c>
      <c r="F233" s="40">
        <v>3812</v>
      </c>
      <c r="G233" s="41">
        <v>46162</v>
      </c>
      <c r="H233" s="42">
        <v>0</v>
      </c>
      <c r="I233" s="42">
        <f t="shared" si="13"/>
        <v>3812</v>
      </c>
      <c r="J233" s="39">
        <f t="shared" ca="1" si="14"/>
        <v>11</v>
      </c>
      <c r="K233" s="39" t="str">
        <f t="shared" ca="1" si="15"/>
        <v>0-30 Days</v>
      </c>
      <c r="L233" s="39" t="str">
        <f t="shared" ca="1" si="16"/>
        <v>Low</v>
      </c>
      <c r="M233" s="39"/>
      <c r="N233" s="7" t="str">
        <f>IF(MasterARReport[[#This Row],[Outstanding Amount]]=0, "PAID", "PENDING")</f>
        <v>PENDING</v>
      </c>
    </row>
    <row r="234" spans="1:14" x14ac:dyDescent="0.3">
      <c r="A234" s="43">
        <v>233</v>
      </c>
      <c r="B234" s="43" t="s">
        <v>14</v>
      </c>
      <c r="C234" s="44">
        <v>46059</v>
      </c>
      <c r="D234" s="45" t="s">
        <v>130</v>
      </c>
      <c r="E234" s="45" t="s">
        <v>131</v>
      </c>
      <c r="F234" s="46">
        <v>19279</v>
      </c>
      <c r="G234" s="47">
        <v>46084</v>
      </c>
      <c r="H234" s="48">
        <v>0</v>
      </c>
      <c r="I234" s="48">
        <f t="shared" si="13"/>
        <v>19279</v>
      </c>
      <c r="J234" s="45">
        <f t="shared" ca="1" si="14"/>
        <v>89</v>
      </c>
      <c r="K234" s="45" t="str">
        <f t="shared" ca="1" si="15"/>
        <v>61-90 Days</v>
      </c>
      <c r="L234" s="45" t="str">
        <f t="shared" ca="1" si="16"/>
        <v>Medium</v>
      </c>
      <c r="M234" s="45" t="s">
        <v>132</v>
      </c>
      <c r="N234" s="7" t="str">
        <f>IF(MasterARReport[[#This Row],[Outstanding Amount]]=0, "PAID", "PENDING")</f>
        <v>PENDING</v>
      </c>
    </row>
    <row r="235" spans="1:14" x14ac:dyDescent="0.3">
      <c r="A235" s="1">
        <v>234</v>
      </c>
      <c r="B235" s="1" t="s">
        <v>14</v>
      </c>
      <c r="C235" s="2">
        <v>46105</v>
      </c>
      <c r="D235" s="3" t="s">
        <v>133</v>
      </c>
      <c r="E235" s="3" t="s">
        <v>134</v>
      </c>
      <c r="F235" s="4">
        <v>3988</v>
      </c>
      <c r="G235" s="5">
        <v>46130</v>
      </c>
      <c r="H235" s="6">
        <f>[1]PAYMENTS!C57</f>
        <v>3988</v>
      </c>
      <c r="I235" s="6">
        <f t="shared" si="13"/>
        <v>0</v>
      </c>
      <c r="J235" s="3">
        <f t="shared" ca="1" si="14"/>
        <v>43</v>
      </c>
      <c r="K235" s="3" t="str">
        <f t="shared" si="15"/>
        <v>Current</v>
      </c>
      <c r="L235" s="3" t="str">
        <f t="shared" si="16"/>
        <v>-</v>
      </c>
      <c r="M235" s="3" t="str">
        <f>[1]PAYMENTS!D57</f>
        <v>Paid by Cheque</v>
      </c>
      <c r="N235" s="7" t="str">
        <f>IF(MasterARReport[[#This Row],[Outstanding Amount]]=0, "PAID", "PENDING")</f>
        <v>PAID</v>
      </c>
    </row>
    <row r="236" spans="1:14" x14ac:dyDescent="0.3">
      <c r="A236" s="26">
        <v>235</v>
      </c>
      <c r="B236" s="26" t="s">
        <v>14</v>
      </c>
      <c r="C236" s="27">
        <v>46121</v>
      </c>
      <c r="D236" s="7" t="s">
        <v>135</v>
      </c>
      <c r="E236" s="7" t="s">
        <v>134</v>
      </c>
      <c r="F236" s="28">
        <v>2021</v>
      </c>
      <c r="G236" s="29">
        <v>46146</v>
      </c>
      <c r="H236" s="30">
        <f>[1]PAYMENTS!C58</f>
        <v>2021</v>
      </c>
      <c r="I236" s="30">
        <f t="shared" si="13"/>
        <v>0</v>
      </c>
      <c r="J236" s="7">
        <f t="shared" ca="1" si="14"/>
        <v>27</v>
      </c>
      <c r="K236" s="7" t="str">
        <f t="shared" si="15"/>
        <v>Current</v>
      </c>
      <c r="L236" s="7" t="str">
        <f t="shared" si="16"/>
        <v>-</v>
      </c>
      <c r="M236" s="7" t="str">
        <f>[1]PAYMENTS!D58</f>
        <v>Paid by Cheque</v>
      </c>
      <c r="N236" s="7" t="str">
        <f>IF(MasterARReport[[#This Row],[Outstanding Amount]]=0, "PAID", "PENDING")</f>
        <v>PAID</v>
      </c>
    </row>
    <row r="237" spans="1:14" x14ac:dyDescent="0.3">
      <c r="A237" s="1">
        <v>236</v>
      </c>
      <c r="B237" s="1" t="s">
        <v>14</v>
      </c>
      <c r="C237" s="2">
        <v>46107</v>
      </c>
      <c r="D237" s="3" t="s">
        <v>136</v>
      </c>
      <c r="E237" s="3" t="s">
        <v>137</v>
      </c>
      <c r="F237" s="4">
        <v>28248</v>
      </c>
      <c r="G237" s="5">
        <v>46132</v>
      </c>
      <c r="H237" s="6">
        <f>[1]PAYMENTS!C37</f>
        <v>28248</v>
      </c>
      <c r="I237" s="6">
        <f t="shared" si="13"/>
        <v>0</v>
      </c>
      <c r="J237" s="3">
        <f t="shared" ca="1" si="14"/>
        <v>41</v>
      </c>
      <c r="K237" s="3" t="str">
        <f t="shared" si="15"/>
        <v>Current</v>
      </c>
      <c r="L237" s="3" t="str">
        <f t="shared" si="16"/>
        <v>-</v>
      </c>
      <c r="M237" s="62" t="str">
        <f>[1]PAYMENTS!D37</f>
        <v>Paid by Cheque</v>
      </c>
      <c r="N237" s="7" t="str">
        <f>IF(MasterARReport[[#This Row],[Outstanding Amount]]=0, "PAID", "PENDING")</f>
        <v>PAID</v>
      </c>
    </row>
    <row r="238" spans="1:14" x14ac:dyDescent="0.3">
      <c r="A238" s="26">
        <v>237</v>
      </c>
      <c r="B238" s="26" t="s">
        <v>14</v>
      </c>
      <c r="C238" s="27">
        <v>46130</v>
      </c>
      <c r="D238" s="7" t="s">
        <v>138</v>
      </c>
      <c r="E238" s="7" t="s">
        <v>139</v>
      </c>
      <c r="F238" s="28">
        <v>3176</v>
      </c>
      <c r="G238" s="29">
        <v>46155</v>
      </c>
      <c r="H238" s="30">
        <v>0</v>
      </c>
      <c r="I238" s="30">
        <f t="shared" si="13"/>
        <v>3176</v>
      </c>
      <c r="J238" s="7">
        <f t="shared" ca="1" si="14"/>
        <v>18</v>
      </c>
      <c r="K238" s="7" t="str">
        <f t="shared" ca="1" si="15"/>
        <v>0-30 Days</v>
      </c>
      <c r="L238" s="7" t="str">
        <f t="shared" ca="1" si="16"/>
        <v>Low</v>
      </c>
      <c r="M238" s="7"/>
      <c r="N238" s="7" t="str">
        <f>IF(MasterARReport[[#This Row],[Outstanding Amount]]=0, "PAID", "PENDING")</f>
        <v>PENDING</v>
      </c>
    </row>
    <row r="239" spans="1:14" x14ac:dyDescent="0.3">
      <c r="A239" s="37">
        <v>238</v>
      </c>
      <c r="B239" s="37" t="s">
        <v>14</v>
      </c>
      <c r="C239" s="38">
        <v>46134</v>
      </c>
      <c r="D239" s="39" t="s">
        <v>140</v>
      </c>
      <c r="E239" s="39" t="s">
        <v>141</v>
      </c>
      <c r="F239" s="40">
        <v>458</v>
      </c>
      <c r="G239" s="41">
        <v>46159</v>
      </c>
      <c r="H239" s="42">
        <v>0</v>
      </c>
      <c r="I239" s="42">
        <f t="shared" si="13"/>
        <v>458</v>
      </c>
      <c r="J239" s="39">
        <f t="shared" ca="1" si="14"/>
        <v>14</v>
      </c>
      <c r="K239" s="39" t="str">
        <f t="shared" ca="1" si="15"/>
        <v>0-30 Days</v>
      </c>
      <c r="L239" s="39" t="str">
        <f t="shared" ca="1" si="16"/>
        <v>Low</v>
      </c>
      <c r="M239" s="39"/>
      <c r="N239" s="7" t="str">
        <f>IF(MasterARReport[[#This Row],[Outstanding Amount]]=0, "PAID", "PENDING")</f>
        <v>PENDING</v>
      </c>
    </row>
    <row r="240" spans="1:14" x14ac:dyDescent="0.3">
      <c r="A240" s="8">
        <v>239</v>
      </c>
      <c r="B240" s="8" t="s">
        <v>14</v>
      </c>
      <c r="C240" s="9">
        <v>45965</v>
      </c>
      <c r="D240" s="10" t="s">
        <v>142</v>
      </c>
      <c r="E240" s="10" t="s">
        <v>143</v>
      </c>
      <c r="F240" s="11">
        <v>9357</v>
      </c>
      <c r="G240" s="12">
        <v>45990</v>
      </c>
      <c r="H240" s="13">
        <v>0</v>
      </c>
      <c r="I240" s="13">
        <f t="shared" si="13"/>
        <v>9357</v>
      </c>
      <c r="J240" s="10">
        <f t="shared" ca="1" si="14"/>
        <v>183</v>
      </c>
      <c r="K240" s="10" t="str">
        <f t="shared" ca="1" si="15"/>
        <v>90+ Days</v>
      </c>
      <c r="L240" s="10" t="str">
        <f t="shared" ca="1" si="16"/>
        <v>HIGH RISK</v>
      </c>
      <c r="M240" s="10" t="s">
        <v>144</v>
      </c>
      <c r="N240" s="7" t="str">
        <f>IF(MasterARReport[[#This Row],[Outstanding Amount]]=0, "PAID", "PENDING")</f>
        <v>PENDING</v>
      </c>
    </row>
    <row r="241" spans="1:14" x14ac:dyDescent="0.3">
      <c r="A241" s="31">
        <v>240</v>
      </c>
      <c r="B241" s="31" t="s">
        <v>14</v>
      </c>
      <c r="C241" s="32">
        <v>46021</v>
      </c>
      <c r="D241" s="33" t="s">
        <v>145</v>
      </c>
      <c r="E241" s="33" t="s">
        <v>143</v>
      </c>
      <c r="F241" s="34">
        <v>643</v>
      </c>
      <c r="G241" s="35">
        <v>46046</v>
      </c>
      <c r="H241" s="36">
        <v>0</v>
      </c>
      <c r="I241" s="36">
        <f t="shared" si="13"/>
        <v>643</v>
      </c>
      <c r="J241" s="33">
        <f t="shared" ca="1" si="14"/>
        <v>127</v>
      </c>
      <c r="K241" s="33" t="str">
        <f t="shared" ca="1" si="15"/>
        <v>90+ Days</v>
      </c>
      <c r="L241" s="33" t="str">
        <f t="shared" ca="1" si="16"/>
        <v>HIGH RISK</v>
      </c>
      <c r="M241" s="33"/>
      <c r="N241" s="7" t="str">
        <f>IF(MasterARReport[[#This Row],[Outstanding Amount]]=0, "PAID", "PENDING")</f>
        <v>PENDING</v>
      </c>
    </row>
    <row r="242" spans="1:14" x14ac:dyDescent="0.3">
      <c r="A242" s="20">
        <v>241</v>
      </c>
      <c r="B242" s="20" t="s">
        <v>14</v>
      </c>
      <c r="C242" s="21">
        <v>46099</v>
      </c>
      <c r="D242" s="22" t="s">
        <v>146</v>
      </c>
      <c r="E242" s="22" t="s">
        <v>147</v>
      </c>
      <c r="F242" s="23">
        <v>12623</v>
      </c>
      <c r="G242" s="24">
        <v>46124</v>
      </c>
      <c r="H242" s="25">
        <v>0</v>
      </c>
      <c r="I242" s="25">
        <f t="shared" si="13"/>
        <v>12623</v>
      </c>
      <c r="J242" s="22">
        <f t="shared" ca="1" si="14"/>
        <v>49</v>
      </c>
      <c r="K242" s="22" t="str">
        <f t="shared" ca="1" si="15"/>
        <v>31-60 Days</v>
      </c>
      <c r="L242" s="22" t="str">
        <f t="shared" ca="1" si="16"/>
        <v>Low-Medium</v>
      </c>
      <c r="M242" s="22"/>
      <c r="N242" s="7" t="str">
        <f>IF(MasterARReport[[#This Row],[Outstanding Amount]]=0, "PAID", "PENDING")</f>
        <v>PENDING</v>
      </c>
    </row>
    <row r="243" spans="1:14" x14ac:dyDescent="0.3">
      <c r="A243" s="14">
        <v>242</v>
      </c>
      <c r="B243" s="14" t="s">
        <v>14</v>
      </c>
      <c r="C243" s="15">
        <v>46059</v>
      </c>
      <c r="D243" s="16" t="s">
        <v>148</v>
      </c>
      <c r="E243" s="16" t="s">
        <v>149</v>
      </c>
      <c r="F243" s="17">
        <v>9634</v>
      </c>
      <c r="G243" s="18">
        <v>46084</v>
      </c>
      <c r="H243" s="19">
        <f>[1]PAYMENTS!C54</f>
        <v>9634</v>
      </c>
      <c r="I243" s="19">
        <f t="shared" si="13"/>
        <v>0</v>
      </c>
      <c r="J243" s="16">
        <f t="shared" ca="1" si="14"/>
        <v>89</v>
      </c>
      <c r="K243" s="16" t="str">
        <f t="shared" si="15"/>
        <v>Current</v>
      </c>
      <c r="L243" s="16" t="str">
        <f t="shared" si="16"/>
        <v>-</v>
      </c>
      <c r="M243" s="16" t="str">
        <f>[1]PAYMENTS!D54</f>
        <v>Paid by Cheque</v>
      </c>
      <c r="N243" s="7" t="str">
        <f>IF(MasterARReport[[#This Row],[Outstanding Amount]]=0, "PAID", "PENDING")</f>
        <v>PAID</v>
      </c>
    </row>
    <row r="244" spans="1:14" x14ac:dyDescent="0.3">
      <c r="A244" s="20">
        <v>243</v>
      </c>
      <c r="B244" s="20" t="s">
        <v>14</v>
      </c>
      <c r="C244" s="21">
        <v>46088</v>
      </c>
      <c r="D244" s="22" t="s">
        <v>150</v>
      </c>
      <c r="E244" s="22" t="s">
        <v>149</v>
      </c>
      <c r="F244" s="23">
        <v>4466</v>
      </c>
      <c r="G244" s="24">
        <v>46113</v>
      </c>
      <c r="H244" s="25">
        <f>[1]PAYMENTS!C55</f>
        <v>4466</v>
      </c>
      <c r="I244" s="25">
        <f t="shared" si="13"/>
        <v>0</v>
      </c>
      <c r="J244" s="22">
        <f t="shared" ca="1" si="14"/>
        <v>60</v>
      </c>
      <c r="K244" s="22" t="str">
        <f t="shared" si="15"/>
        <v>Current</v>
      </c>
      <c r="L244" s="22" t="str">
        <f t="shared" si="16"/>
        <v>-</v>
      </c>
      <c r="M244" s="22" t="str">
        <f>[1]PAYMENTS!D55</f>
        <v>Paid by Cheque</v>
      </c>
      <c r="N244" s="7" t="str">
        <f>IF(MasterARReport[[#This Row],[Outstanding Amount]]=0, "PAID", "PENDING")</f>
        <v>PAID</v>
      </c>
    </row>
    <row r="245" spans="1:14" x14ac:dyDescent="0.3">
      <c r="A245" s="1">
        <v>244</v>
      </c>
      <c r="B245" s="1" t="s">
        <v>14</v>
      </c>
      <c r="C245" s="2">
        <v>46084</v>
      </c>
      <c r="D245" s="3" t="s">
        <v>151</v>
      </c>
      <c r="E245" s="3" t="s">
        <v>152</v>
      </c>
      <c r="F245" s="4">
        <v>6372</v>
      </c>
      <c r="G245" s="5">
        <v>46109</v>
      </c>
      <c r="H245" s="6">
        <v>0</v>
      </c>
      <c r="I245" s="6">
        <f t="shared" si="13"/>
        <v>6372</v>
      </c>
      <c r="J245" s="3">
        <f t="shared" ca="1" si="14"/>
        <v>64</v>
      </c>
      <c r="K245" s="3" t="str">
        <f t="shared" ca="1" si="15"/>
        <v>61-90 Days</v>
      </c>
      <c r="L245" s="3" t="str">
        <f t="shared" ca="1" si="16"/>
        <v>Medium</v>
      </c>
      <c r="M245" s="3"/>
      <c r="N245" s="7" t="str">
        <f>IF(MasterARReport[[#This Row],[Outstanding Amount]]=0, "PAID", "PENDING")</f>
        <v>PENDING</v>
      </c>
    </row>
    <row r="246" spans="1:14" x14ac:dyDescent="0.3">
      <c r="A246" s="43">
        <v>245</v>
      </c>
      <c r="B246" s="43" t="s">
        <v>14</v>
      </c>
      <c r="C246" s="44">
        <v>46070</v>
      </c>
      <c r="D246" s="45" t="s">
        <v>153</v>
      </c>
      <c r="E246" s="45" t="s">
        <v>154</v>
      </c>
      <c r="F246" s="46">
        <v>9276</v>
      </c>
      <c r="G246" s="47">
        <v>46095</v>
      </c>
      <c r="H246" s="48">
        <v>0</v>
      </c>
      <c r="I246" s="48">
        <f t="shared" si="13"/>
        <v>9276</v>
      </c>
      <c r="J246" s="45">
        <f t="shared" ca="1" si="14"/>
        <v>78</v>
      </c>
      <c r="K246" s="45" t="str">
        <f t="shared" ca="1" si="15"/>
        <v>61-90 Days</v>
      </c>
      <c r="L246" s="45" t="str">
        <f t="shared" ca="1" si="16"/>
        <v>Medium</v>
      </c>
      <c r="M246" s="45"/>
      <c r="N246" s="7" t="str">
        <f>IF(MasterARReport[[#This Row],[Outstanding Amount]]=0, "PAID", "PENDING")</f>
        <v>PENDING</v>
      </c>
    </row>
    <row r="247" spans="1:14" x14ac:dyDescent="0.3">
      <c r="A247" s="14">
        <v>246</v>
      </c>
      <c r="B247" s="14" t="s">
        <v>14</v>
      </c>
      <c r="C247" s="15">
        <v>46071</v>
      </c>
      <c r="D247" s="16" t="s">
        <v>155</v>
      </c>
      <c r="E247" s="16" t="s">
        <v>154</v>
      </c>
      <c r="F247" s="17">
        <v>1274</v>
      </c>
      <c r="G247" s="18">
        <v>46096</v>
      </c>
      <c r="H247" s="19">
        <v>0</v>
      </c>
      <c r="I247" s="19">
        <f t="shared" si="13"/>
        <v>1274</v>
      </c>
      <c r="J247" s="16">
        <f t="shared" ca="1" si="14"/>
        <v>77</v>
      </c>
      <c r="K247" s="16" t="str">
        <f t="shared" ca="1" si="15"/>
        <v>61-90 Days</v>
      </c>
      <c r="L247" s="16" t="str">
        <f t="shared" ca="1" si="16"/>
        <v>Medium</v>
      </c>
      <c r="M247" s="16"/>
      <c r="N247" s="7" t="str">
        <f>IF(MasterARReport[[#This Row],[Outstanding Amount]]=0, "PAID", "PENDING")</f>
        <v>PENDING</v>
      </c>
    </row>
    <row r="248" spans="1:14" x14ac:dyDescent="0.3">
      <c r="A248" s="20">
        <v>247</v>
      </c>
      <c r="B248" s="20" t="s">
        <v>14</v>
      </c>
      <c r="C248" s="21">
        <v>46084</v>
      </c>
      <c r="D248" s="22" t="s">
        <v>156</v>
      </c>
      <c r="E248" s="22" t="s">
        <v>154</v>
      </c>
      <c r="F248" s="23">
        <v>6712</v>
      </c>
      <c r="G248" s="24">
        <v>46109</v>
      </c>
      <c r="H248" s="25">
        <v>0</v>
      </c>
      <c r="I248" s="25">
        <f t="shared" si="13"/>
        <v>6712</v>
      </c>
      <c r="J248" s="22">
        <f t="shared" ca="1" si="14"/>
        <v>64</v>
      </c>
      <c r="K248" s="22" t="str">
        <f t="shared" ca="1" si="15"/>
        <v>61-90 Days</v>
      </c>
      <c r="L248" s="22" t="str">
        <f t="shared" ca="1" si="16"/>
        <v>Medium</v>
      </c>
      <c r="M248" s="22"/>
      <c r="N248" s="7" t="str">
        <f>IF(MasterARReport[[#This Row],[Outstanding Amount]]=0, "PAID", "PENDING")</f>
        <v>PENDING</v>
      </c>
    </row>
    <row r="249" spans="1:14" x14ac:dyDescent="0.3">
      <c r="A249" s="31">
        <v>248</v>
      </c>
      <c r="B249" s="31" t="s">
        <v>14</v>
      </c>
      <c r="C249" s="32">
        <v>46010</v>
      </c>
      <c r="D249" s="33" t="s">
        <v>67</v>
      </c>
      <c r="E249" s="33" t="s">
        <v>157</v>
      </c>
      <c r="F249" s="34">
        <v>500</v>
      </c>
      <c r="G249" s="35">
        <v>46010</v>
      </c>
      <c r="H249" s="36">
        <v>0</v>
      </c>
      <c r="I249" s="36">
        <f t="shared" si="13"/>
        <v>500</v>
      </c>
      <c r="J249" s="33">
        <f t="shared" ca="1" si="14"/>
        <v>163</v>
      </c>
      <c r="K249" s="33" t="str">
        <f t="shared" ca="1" si="15"/>
        <v>90+ Days</v>
      </c>
      <c r="L249" s="33" t="str">
        <f t="shared" ca="1" si="16"/>
        <v>HIGH RISK</v>
      </c>
      <c r="M249" s="33"/>
      <c r="N249" s="7" t="str">
        <f>IF(MasterARReport[[#This Row],[Outstanding Amount]]=0, "PAID", "PENDING")</f>
        <v>PENDING</v>
      </c>
    </row>
    <row r="250" spans="1:14" x14ac:dyDescent="0.3">
      <c r="A250" s="20">
        <v>249</v>
      </c>
      <c r="B250" s="20" t="s">
        <v>14</v>
      </c>
      <c r="C250" s="21">
        <v>46098</v>
      </c>
      <c r="D250" s="22" t="s">
        <v>158</v>
      </c>
      <c r="E250" s="22" t="s">
        <v>159</v>
      </c>
      <c r="F250" s="23">
        <v>15868</v>
      </c>
      <c r="G250" s="24">
        <v>46123</v>
      </c>
      <c r="H250" s="25">
        <v>15868</v>
      </c>
      <c r="I250" s="25">
        <f t="shared" si="13"/>
        <v>0</v>
      </c>
      <c r="J250" s="22">
        <f t="shared" ca="1" si="14"/>
        <v>50</v>
      </c>
      <c r="K250" s="22" t="str">
        <f t="shared" si="15"/>
        <v>Current</v>
      </c>
      <c r="L250" s="22" t="str">
        <f t="shared" si="16"/>
        <v>-</v>
      </c>
      <c r="M250" s="22" t="s">
        <v>22</v>
      </c>
      <c r="N250" s="7" t="str">
        <f>IF(MasterARReport[[#This Row],[Outstanding Amount]]=0, "PAID", "PENDING")</f>
        <v>PAID</v>
      </c>
    </row>
    <row r="251" spans="1:14" x14ac:dyDescent="0.3">
      <c r="A251" s="31">
        <v>250</v>
      </c>
      <c r="B251" s="31" t="s">
        <v>14</v>
      </c>
      <c r="C251" s="32">
        <v>46002</v>
      </c>
      <c r="D251" s="33" t="s">
        <v>160</v>
      </c>
      <c r="E251" s="33" t="s">
        <v>161</v>
      </c>
      <c r="F251" s="34">
        <v>5197</v>
      </c>
      <c r="G251" s="35">
        <v>46027</v>
      </c>
      <c r="H251" s="36">
        <v>0</v>
      </c>
      <c r="I251" s="36">
        <f t="shared" si="13"/>
        <v>5197</v>
      </c>
      <c r="J251" s="33">
        <f t="shared" ca="1" si="14"/>
        <v>146</v>
      </c>
      <c r="K251" s="33" t="str">
        <f t="shared" ca="1" si="15"/>
        <v>90+ Days</v>
      </c>
      <c r="L251" s="33" t="str">
        <f t="shared" ca="1" si="16"/>
        <v>HIGH RISK</v>
      </c>
      <c r="M251" s="33" t="s">
        <v>37</v>
      </c>
      <c r="N251" s="7" t="str">
        <f>IF(MasterARReport[[#This Row],[Outstanding Amount]]=0, "PAID", "PENDING")</f>
        <v>PENDING</v>
      </c>
    </row>
    <row r="252" spans="1:14" x14ac:dyDescent="0.3">
      <c r="A252" s="26">
        <v>251</v>
      </c>
      <c r="B252" s="26" t="s">
        <v>14</v>
      </c>
      <c r="C252" s="27" t="s">
        <v>162</v>
      </c>
      <c r="D252" s="7" t="s">
        <v>163</v>
      </c>
      <c r="E252" s="7" t="s">
        <v>164</v>
      </c>
      <c r="F252" s="28">
        <v>6940</v>
      </c>
      <c r="G252" s="29" t="s">
        <v>165</v>
      </c>
      <c r="H252" s="30">
        <v>0</v>
      </c>
      <c r="I252" s="30">
        <f t="shared" si="13"/>
        <v>6940</v>
      </c>
      <c r="J252" s="7">
        <f t="shared" ca="1" si="14"/>
        <v>0</v>
      </c>
      <c r="K252" s="7" t="str">
        <f t="shared" ca="1" si="15"/>
        <v>0-30 Days</v>
      </c>
      <c r="L252" s="7" t="str">
        <f t="shared" ca="1" si="16"/>
        <v>Low</v>
      </c>
      <c r="M252" s="7"/>
      <c r="N252" s="7" t="str">
        <f>IF(MasterARReport[[#This Row],[Outstanding Amount]]=0, "PAID", "PENDING")</f>
        <v>PENDING</v>
      </c>
    </row>
    <row r="253" spans="1:14" x14ac:dyDescent="0.3">
      <c r="A253" s="37">
        <v>252</v>
      </c>
      <c r="B253" s="37" t="s">
        <v>14</v>
      </c>
      <c r="C253" s="38" t="s">
        <v>166</v>
      </c>
      <c r="D253" s="39" t="s">
        <v>167</v>
      </c>
      <c r="E253" s="39" t="s">
        <v>168</v>
      </c>
      <c r="F253" s="40">
        <v>1779</v>
      </c>
      <c r="G253" s="41" t="s">
        <v>169</v>
      </c>
      <c r="H253" s="42">
        <v>0</v>
      </c>
      <c r="I253" s="42">
        <f t="shared" si="13"/>
        <v>1779</v>
      </c>
      <c r="J253" s="39">
        <f t="shared" ca="1" si="14"/>
        <v>7</v>
      </c>
      <c r="K253" s="39" t="str">
        <f t="shared" ca="1" si="15"/>
        <v>0-30 Days</v>
      </c>
      <c r="L253" s="39" t="str">
        <f t="shared" ca="1" si="16"/>
        <v>Low</v>
      </c>
      <c r="M253" s="39"/>
      <c r="N253" s="7" t="str">
        <f>IF(MasterARReport[[#This Row],[Outstanding Amount]]=0, "PAID", "PENDING")</f>
        <v>PENDING</v>
      </c>
    </row>
    <row r="254" spans="1:14" x14ac:dyDescent="0.3">
      <c r="A254" s="26">
        <v>253</v>
      </c>
      <c r="B254" s="26" t="s">
        <v>14</v>
      </c>
      <c r="C254" s="27" t="s">
        <v>166</v>
      </c>
      <c r="D254" s="7" t="s">
        <v>170</v>
      </c>
      <c r="E254" s="7" t="s">
        <v>171</v>
      </c>
      <c r="F254" s="28">
        <v>16319</v>
      </c>
      <c r="G254" s="29" t="s">
        <v>169</v>
      </c>
      <c r="H254" s="30">
        <v>0</v>
      </c>
      <c r="I254" s="30">
        <f t="shared" si="13"/>
        <v>16319</v>
      </c>
      <c r="J254" s="7">
        <f t="shared" ca="1" si="14"/>
        <v>7</v>
      </c>
      <c r="K254" s="7" t="str">
        <f t="shared" ca="1" si="15"/>
        <v>0-30 Days</v>
      </c>
      <c r="L254" s="7" t="str">
        <f t="shared" ca="1" si="16"/>
        <v>Low</v>
      </c>
      <c r="M254" s="7"/>
      <c r="N254" s="7" t="str">
        <f>IF(MasterARReport[[#This Row],[Outstanding Amount]]=0, "PAID", "PENDING")</f>
        <v>PENDING</v>
      </c>
    </row>
    <row r="255" spans="1:14" x14ac:dyDescent="0.3">
      <c r="A255" s="37">
        <v>254</v>
      </c>
      <c r="B255" s="37" t="s">
        <v>14</v>
      </c>
      <c r="C255" s="38" t="s">
        <v>166</v>
      </c>
      <c r="D255" s="39" t="s">
        <v>172</v>
      </c>
      <c r="E255" s="39" t="s">
        <v>173</v>
      </c>
      <c r="F255" s="40">
        <v>16478</v>
      </c>
      <c r="G255" s="41" t="s">
        <v>169</v>
      </c>
      <c r="H255" s="42">
        <v>0</v>
      </c>
      <c r="I255" s="42">
        <f t="shared" si="13"/>
        <v>16478</v>
      </c>
      <c r="J255" s="39">
        <f t="shared" ca="1" si="14"/>
        <v>7</v>
      </c>
      <c r="K255" s="39" t="str">
        <f t="shared" ca="1" si="15"/>
        <v>0-30 Days</v>
      </c>
      <c r="L255" s="39" t="str">
        <f t="shared" ca="1" si="16"/>
        <v>Low</v>
      </c>
      <c r="M255" s="39"/>
      <c r="N255" s="7" t="str">
        <f>IF(MasterARReport[[#This Row],[Outstanding Amount]]=0, "PAID", "PENDING")</f>
        <v>PENDING</v>
      </c>
    </row>
    <row r="256" spans="1:14" x14ac:dyDescent="0.3">
      <c r="A256" s="26">
        <v>255</v>
      </c>
      <c r="B256" s="26" t="s">
        <v>14</v>
      </c>
      <c r="C256" s="27" t="s">
        <v>174</v>
      </c>
      <c r="D256" s="7" t="s">
        <v>175</v>
      </c>
      <c r="E256" s="7" t="s">
        <v>176</v>
      </c>
      <c r="F256" s="28">
        <v>18690</v>
      </c>
      <c r="G256" s="29" t="s">
        <v>177</v>
      </c>
      <c r="H256" s="30">
        <v>0</v>
      </c>
      <c r="I256" s="30">
        <f t="shared" si="13"/>
        <v>18690</v>
      </c>
      <c r="J256" s="7">
        <f t="shared" ca="1" si="14"/>
        <v>0</v>
      </c>
      <c r="K256" s="7" t="str">
        <f t="shared" ca="1" si="15"/>
        <v>0-30 Days</v>
      </c>
      <c r="L256" s="7" t="str">
        <f t="shared" ca="1" si="16"/>
        <v>Low</v>
      </c>
      <c r="M256" s="7"/>
      <c r="N256" s="7" t="str">
        <f>IF(MasterARReport[[#This Row],[Outstanding Amount]]=0, "PAID", "PENDING")</f>
        <v>PENDING</v>
      </c>
    </row>
    <row r="257" spans="1:14" x14ac:dyDescent="0.3">
      <c r="A257" s="37">
        <v>256</v>
      </c>
      <c r="B257" s="37" t="s">
        <v>14</v>
      </c>
      <c r="C257" s="38" t="s">
        <v>178</v>
      </c>
      <c r="D257" s="39" t="s">
        <v>179</v>
      </c>
      <c r="E257" s="39" t="s">
        <v>176</v>
      </c>
      <c r="F257" s="40">
        <v>6641</v>
      </c>
      <c r="G257" s="41" t="s">
        <v>180</v>
      </c>
      <c r="H257" s="42">
        <v>0</v>
      </c>
      <c r="I257" s="42">
        <f t="shared" si="13"/>
        <v>6641</v>
      </c>
      <c r="J257" s="39">
        <f t="shared" ca="1" si="14"/>
        <v>0</v>
      </c>
      <c r="K257" s="39" t="str">
        <f t="shared" ca="1" si="15"/>
        <v>0-30 Days</v>
      </c>
      <c r="L257" s="39" t="str">
        <f t="shared" ca="1" si="16"/>
        <v>Low</v>
      </c>
      <c r="M257" s="39"/>
      <c r="N257" s="7" t="str">
        <f>IF(MasterARReport[[#This Row],[Outstanding Amount]]=0, "PAID", "PENDING")</f>
        <v>PENDING</v>
      </c>
    </row>
    <row r="258" spans="1:14" x14ac:dyDescent="0.3">
      <c r="A258" s="26">
        <v>257</v>
      </c>
      <c r="B258" s="26" t="s">
        <v>14</v>
      </c>
      <c r="C258" s="27" t="s">
        <v>162</v>
      </c>
      <c r="D258" s="7" t="s">
        <v>181</v>
      </c>
      <c r="E258" s="7" t="s">
        <v>176</v>
      </c>
      <c r="F258" s="28">
        <v>1270</v>
      </c>
      <c r="G258" s="29" t="s">
        <v>165</v>
      </c>
      <c r="H258" s="30">
        <v>0</v>
      </c>
      <c r="I258" s="30">
        <f t="shared" ref="I258:I321" si="17">MAX(0,F258-H258)</f>
        <v>1270</v>
      </c>
      <c r="J258" s="7">
        <f t="shared" ref="J258:J321" ca="1" si="18">IF(G258="",0,MAX(0,TODAY()-G258))</f>
        <v>0</v>
      </c>
      <c r="K258" s="7" t="str">
        <f t="shared" ref="K258:K321" ca="1" si="19">IF(I258&lt;=0,"Current",IF(J258&lt;=30,"0-30 Days",IF(J258&lt;=60,"31-60 Days",IF(J258&lt;=90,"61-90 Days","90+ Days"))))</f>
        <v>0-30 Days</v>
      </c>
      <c r="L258" s="7" t="str">
        <f t="shared" ref="L258:L321" ca="1" si="20">IF(I258&lt;=0,"-",IF(J258&lt;=30,"Low",IF(J258&lt;=60,"Low-Medium",IF(J258&lt;=90,"Medium","HIGH RISK"))))</f>
        <v>Low</v>
      </c>
      <c r="M258" s="7"/>
      <c r="N258" s="7" t="str">
        <f>IF(MasterARReport[[#This Row],[Outstanding Amount]]=0, "PAID", "PENDING")</f>
        <v>PENDING</v>
      </c>
    </row>
    <row r="259" spans="1:14" x14ac:dyDescent="0.3">
      <c r="A259" s="37">
        <v>258</v>
      </c>
      <c r="B259" s="37" t="s">
        <v>14</v>
      </c>
      <c r="C259" s="38" t="s">
        <v>178</v>
      </c>
      <c r="D259" s="39" t="s">
        <v>182</v>
      </c>
      <c r="E259" s="39" t="s">
        <v>176</v>
      </c>
      <c r="F259" s="40">
        <v>3176</v>
      </c>
      <c r="G259" s="41" t="s">
        <v>180</v>
      </c>
      <c r="H259" s="42">
        <v>0</v>
      </c>
      <c r="I259" s="42">
        <f t="shared" si="17"/>
        <v>3176</v>
      </c>
      <c r="J259" s="39">
        <f t="shared" ca="1" si="18"/>
        <v>0</v>
      </c>
      <c r="K259" s="39" t="str">
        <f t="shared" ca="1" si="19"/>
        <v>0-30 Days</v>
      </c>
      <c r="L259" s="39" t="str">
        <f t="shared" ca="1" si="20"/>
        <v>Low</v>
      </c>
      <c r="M259" s="39"/>
      <c r="N259" s="7" t="str">
        <f>IF(MasterARReport[[#This Row],[Outstanding Amount]]=0, "PAID", "PENDING")</f>
        <v>PENDING</v>
      </c>
    </row>
    <row r="260" spans="1:14" x14ac:dyDescent="0.3">
      <c r="A260" s="26">
        <v>259</v>
      </c>
      <c r="B260" s="26" t="s">
        <v>14</v>
      </c>
      <c r="C260" s="27" t="s">
        <v>162</v>
      </c>
      <c r="D260" s="7" t="s">
        <v>183</v>
      </c>
      <c r="E260" s="7" t="s">
        <v>176</v>
      </c>
      <c r="F260" s="28">
        <v>16274</v>
      </c>
      <c r="G260" s="29" t="s">
        <v>165</v>
      </c>
      <c r="H260" s="30">
        <v>0</v>
      </c>
      <c r="I260" s="30">
        <f t="shared" si="17"/>
        <v>16274</v>
      </c>
      <c r="J260" s="7">
        <f t="shared" ca="1" si="18"/>
        <v>0</v>
      </c>
      <c r="K260" s="7" t="str">
        <f t="shared" ca="1" si="19"/>
        <v>0-30 Days</v>
      </c>
      <c r="L260" s="7" t="str">
        <f t="shared" ca="1" si="20"/>
        <v>Low</v>
      </c>
      <c r="M260" s="7"/>
      <c r="N260" s="7" t="str">
        <f>IF(MasterARReport[[#This Row],[Outstanding Amount]]=0, "PAID", "PENDING")</f>
        <v>PENDING</v>
      </c>
    </row>
    <row r="261" spans="1:14" x14ac:dyDescent="0.3">
      <c r="A261" s="37">
        <v>260</v>
      </c>
      <c r="B261" s="37" t="s">
        <v>14</v>
      </c>
      <c r="C261" s="38">
        <v>46141</v>
      </c>
      <c r="D261" s="39" t="s">
        <v>184</v>
      </c>
      <c r="E261" s="39" t="s">
        <v>185</v>
      </c>
      <c r="F261" s="40">
        <v>4119</v>
      </c>
      <c r="G261" s="41">
        <v>46166</v>
      </c>
      <c r="H261" s="42">
        <v>0</v>
      </c>
      <c r="I261" s="42">
        <f t="shared" si="17"/>
        <v>4119</v>
      </c>
      <c r="J261" s="39">
        <f t="shared" ca="1" si="18"/>
        <v>7</v>
      </c>
      <c r="K261" s="39" t="str">
        <f t="shared" ca="1" si="19"/>
        <v>0-30 Days</v>
      </c>
      <c r="L261" s="39" t="str">
        <f t="shared" ca="1" si="20"/>
        <v>Low</v>
      </c>
      <c r="M261" s="39"/>
      <c r="N261" s="7" t="str">
        <f>IF(MasterARReport[[#This Row],[Outstanding Amount]]=0, "PAID", "PENDING")</f>
        <v>PENDING</v>
      </c>
    </row>
    <row r="262" spans="1:14" x14ac:dyDescent="0.3">
      <c r="A262" s="56">
        <v>261</v>
      </c>
      <c r="B262" s="56" t="s">
        <v>14</v>
      </c>
      <c r="C262" s="57">
        <v>46151</v>
      </c>
      <c r="D262" s="58" t="s">
        <v>186</v>
      </c>
      <c r="E262" s="58" t="s">
        <v>187</v>
      </c>
      <c r="F262" s="59">
        <v>4427</v>
      </c>
      <c r="G262" s="60">
        <v>46176</v>
      </c>
      <c r="H262" s="61">
        <v>0</v>
      </c>
      <c r="I262" s="61">
        <f t="shared" si="17"/>
        <v>4427</v>
      </c>
      <c r="J262" s="58">
        <f t="shared" ca="1" si="18"/>
        <v>0</v>
      </c>
      <c r="K262" s="58" t="str">
        <f t="shared" ca="1" si="19"/>
        <v>0-30 Days</v>
      </c>
      <c r="L262" s="58" t="str">
        <f t="shared" ca="1" si="20"/>
        <v>Low</v>
      </c>
      <c r="M262" s="58"/>
      <c r="N262" s="7" t="str">
        <f>IF(MasterARReport[[#This Row],[Outstanding Amount]]=0, "PAID", "PENDING")</f>
        <v>PENDING</v>
      </c>
    </row>
    <row r="263" spans="1:14" x14ac:dyDescent="0.3">
      <c r="A263" s="37">
        <v>262</v>
      </c>
      <c r="B263" s="37" t="s">
        <v>14</v>
      </c>
      <c r="C263" s="38">
        <v>46141</v>
      </c>
      <c r="D263" s="39" t="s">
        <v>188</v>
      </c>
      <c r="E263" s="39" t="s">
        <v>189</v>
      </c>
      <c r="F263" s="40">
        <v>1963</v>
      </c>
      <c r="G263" s="41">
        <v>46166</v>
      </c>
      <c r="H263" s="42">
        <v>0</v>
      </c>
      <c r="I263" s="42">
        <f t="shared" si="17"/>
        <v>1963</v>
      </c>
      <c r="J263" s="39">
        <f t="shared" ca="1" si="18"/>
        <v>7</v>
      </c>
      <c r="K263" s="39" t="str">
        <f t="shared" ca="1" si="19"/>
        <v>0-30 Days</v>
      </c>
      <c r="L263" s="39" t="str">
        <f t="shared" ca="1" si="20"/>
        <v>Low</v>
      </c>
      <c r="M263" s="39"/>
      <c r="N263" s="7" t="str">
        <f>IF(MasterARReport[[#This Row],[Outstanding Amount]]=0, "PAID", "PENDING")</f>
        <v>PENDING</v>
      </c>
    </row>
    <row r="264" spans="1:14" x14ac:dyDescent="0.3">
      <c r="A264" s="26">
        <v>263</v>
      </c>
      <c r="B264" s="26" t="s">
        <v>14</v>
      </c>
      <c r="C264" s="27">
        <v>46142</v>
      </c>
      <c r="D264" s="7" t="s">
        <v>190</v>
      </c>
      <c r="E264" s="7" t="s">
        <v>191</v>
      </c>
      <c r="F264" s="28">
        <v>12200</v>
      </c>
      <c r="G264" s="29">
        <v>46167</v>
      </c>
      <c r="H264" s="30">
        <v>0</v>
      </c>
      <c r="I264" s="30">
        <f t="shared" si="17"/>
        <v>12200</v>
      </c>
      <c r="J264" s="7">
        <f t="shared" ca="1" si="18"/>
        <v>6</v>
      </c>
      <c r="K264" s="7" t="str">
        <f t="shared" ca="1" si="19"/>
        <v>0-30 Days</v>
      </c>
      <c r="L264" s="7" t="str">
        <f t="shared" ca="1" si="20"/>
        <v>Low</v>
      </c>
      <c r="M264" s="7"/>
      <c r="N264" s="7" t="str">
        <f>IF(MasterARReport[[#This Row],[Outstanding Amount]]=0, "PAID", "PENDING")</f>
        <v>PENDING</v>
      </c>
    </row>
    <row r="265" spans="1:14" x14ac:dyDescent="0.3">
      <c r="A265" s="37">
        <v>264</v>
      </c>
      <c r="B265" s="37" t="s">
        <v>513</v>
      </c>
      <c r="C265" s="38">
        <v>46125</v>
      </c>
      <c r="D265" s="39" t="s">
        <v>514</v>
      </c>
      <c r="E265" s="39" t="s">
        <v>515</v>
      </c>
      <c r="F265" s="40">
        <v>5452</v>
      </c>
      <c r="G265" s="41">
        <v>46150</v>
      </c>
      <c r="H265" s="42">
        <f>[1]PAYMENTS!C23</f>
        <v>5452</v>
      </c>
      <c r="I265" s="42">
        <f t="shared" si="17"/>
        <v>0</v>
      </c>
      <c r="J265" s="39">
        <f t="shared" ca="1" si="18"/>
        <v>23</v>
      </c>
      <c r="K265" s="39" t="str">
        <f t="shared" si="19"/>
        <v>Current</v>
      </c>
      <c r="L265" s="39" t="str">
        <f t="shared" si="20"/>
        <v>-</v>
      </c>
      <c r="M265" s="39" t="str">
        <f>[1]PAYMENTS!D23</f>
        <v xml:space="preserve">Paid Online </v>
      </c>
      <c r="N265" s="7" t="str">
        <f>IF(MasterARReport[[#This Row],[Outstanding Amount]]=0, "PAID", "PENDING")</f>
        <v>PAID</v>
      </c>
    </row>
    <row r="266" spans="1:14" x14ac:dyDescent="0.3">
      <c r="A266" s="26">
        <v>265</v>
      </c>
      <c r="B266" s="26" t="s">
        <v>513</v>
      </c>
      <c r="C266" s="27">
        <v>46133</v>
      </c>
      <c r="D266" s="7" t="s">
        <v>516</v>
      </c>
      <c r="E266" s="7" t="s">
        <v>517</v>
      </c>
      <c r="F266" s="28">
        <v>13436</v>
      </c>
      <c r="G266" s="29">
        <v>46158</v>
      </c>
      <c r="H266" s="30">
        <f>[1]PAYMENTS!C2</f>
        <v>13436</v>
      </c>
      <c r="I266" s="30">
        <f t="shared" si="17"/>
        <v>0</v>
      </c>
      <c r="J266" s="7">
        <f t="shared" ca="1" si="18"/>
        <v>15</v>
      </c>
      <c r="K266" s="7" t="str">
        <f t="shared" si="19"/>
        <v>Current</v>
      </c>
      <c r="L266" s="7" t="str">
        <f t="shared" si="20"/>
        <v>-</v>
      </c>
      <c r="M266" s="7" t="str">
        <f>[1]PAYMENTS!D2</f>
        <v>Paid by Cheque</v>
      </c>
      <c r="N266" s="7" t="str">
        <f>IF(MasterARReport[[#This Row],[Outstanding Amount]]=0, "PAID", "PENDING")</f>
        <v>PAID</v>
      </c>
    </row>
    <row r="267" spans="1:14" x14ac:dyDescent="0.3">
      <c r="A267" s="1">
        <v>266</v>
      </c>
      <c r="B267" s="1" t="s">
        <v>513</v>
      </c>
      <c r="C267" s="2">
        <v>46105</v>
      </c>
      <c r="D267" s="3" t="s">
        <v>518</v>
      </c>
      <c r="E267" s="3" t="s">
        <v>519</v>
      </c>
      <c r="F267" s="4">
        <v>8720</v>
      </c>
      <c r="G267" s="5">
        <v>46130</v>
      </c>
      <c r="H267" s="6">
        <f>[1]PAYMENTS!C17</f>
        <v>8720</v>
      </c>
      <c r="I267" s="6">
        <f t="shared" si="17"/>
        <v>0</v>
      </c>
      <c r="J267" s="3">
        <f t="shared" ca="1" si="18"/>
        <v>43</v>
      </c>
      <c r="K267" s="3" t="str">
        <f t="shared" si="19"/>
        <v>Current</v>
      </c>
      <c r="L267" s="3" t="str">
        <f t="shared" si="20"/>
        <v>-</v>
      </c>
      <c r="M267" s="3" t="str">
        <f>[1]PAYMENTS!D17</f>
        <v xml:space="preserve">Paid Online </v>
      </c>
      <c r="N267" s="7" t="str">
        <f>IF(MasterARReport[[#This Row],[Outstanding Amount]]=0, "PAID", "PENDING")</f>
        <v>PAID</v>
      </c>
    </row>
    <row r="268" spans="1:14" x14ac:dyDescent="0.3">
      <c r="A268" s="26">
        <v>267</v>
      </c>
      <c r="B268" s="26" t="s">
        <v>513</v>
      </c>
      <c r="C268" s="27">
        <v>46135</v>
      </c>
      <c r="D268" s="7" t="s">
        <v>520</v>
      </c>
      <c r="E268" s="7" t="s">
        <v>521</v>
      </c>
      <c r="F268" s="28">
        <v>2156</v>
      </c>
      <c r="G268" s="29">
        <v>46160</v>
      </c>
      <c r="H268" s="30">
        <v>2156</v>
      </c>
      <c r="I268" s="30">
        <f t="shared" si="17"/>
        <v>0</v>
      </c>
      <c r="J268" s="7">
        <f t="shared" ca="1" si="18"/>
        <v>13</v>
      </c>
      <c r="K268" s="7" t="str">
        <f t="shared" si="19"/>
        <v>Current</v>
      </c>
      <c r="L268" s="7" t="str">
        <f t="shared" si="20"/>
        <v>-</v>
      </c>
      <c r="M268" s="7" t="s">
        <v>522</v>
      </c>
      <c r="N268" s="7" t="str">
        <f>IF(MasterARReport[[#This Row],[Outstanding Amount]]=0, "PAID", "PENDING")</f>
        <v>PAID</v>
      </c>
    </row>
    <row r="269" spans="1:14" x14ac:dyDescent="0.3">
      <c r="A269" s="56">
        <v>268</v>
      </c>
      <c r="B269" s="56" t="s">
        <v>513</v>
      </c>
      <c r="C269" s="57">
        <v>46151</v>
      </c>
      <c r="D269" s="58" t="s">
        <v>523</v>
      </c>
      <c r="E269" s="58" t="s">
        <v>521</v>
      </c>
      <c r="F269" s="59">
        <v>3708</v>
      </c>
      <c r="G269" s="60">
        <v>46176</v>
      </c>
      <c r="H269" s="61">
        <v>0</v>
      </c>
      <c r="I269" s="61">
        <f t="shared" si="17"/>
        <v>3708</v>
      </c>
      <c r="J269" s="58">
        <f t="shared" ca="1" si="18"/>
        <v>0</v>
      </c>
      <c r="K269" s="58" t="str">
        <f t="shared" ca="1" si="19"/>
        <v>0-30 Days</v>
      </c>
      <c r="L269" s="58" t="str">
        <f t="shared" ca="1" si="20"/>
        <v>Low</v>
      </c>
      <c r="M269" s="58"/>
      <c r="N269" s="7" t="str">
        <f>IF(MasterARReport[[#This Row],[Outstanding Amount]]=0, "PAID", "PENDING")</f>
        <v>PENDING</v>
      </c>
    </row>
    <row r="270" spans="1:14" x14ac:dyDescent="0.3">
      <c r="A270" s="20">
        <v>269</v>
      </c>
      <c r="B270" s="20" t="s">
        <v>513</v>
      </c>
      <c r="C270" s="21">
        <v>46109</v>
      </c>
      <c r="D270" s="22" t="s">
        <v>524</v>
      </c>
      <c r="E270" s="22" t="s">
        <v>525</v>
      </c>
      <c r="F270" s="23">
        <v>10164</v>
      </c>
      <c r="G270" s="24">
        <v>46134</v>
      </c>
      <c r="H270" s="25">
        <v>0</v>
      </c>
      <c r="I270" s="25">
        <f t="shared" si="17"/>
        <v>10164</v>
      </c>
      <c r="J270" s="22">
        <f t="shared" ca="1" si="18"/>
        <v>39</v>
      </c>
      <c r="K270" s="22" t="str">
        <f t="shared" ca="1" si="19"/>
        <v>31-60 Days</v>
      </c>
      <c r="L270" s="22" t="str">
        <f t="shared" ca="1" si="20"/>
        <v>Low-Medium</v>
      </c>
      <c r="M270" s="22" t="s">
        <v>456</v>
      </c>
      <c r="N270" s="7" t="str">
        <f>IF(MasterARReport[[#This Row],[Outstanding Amount]]=0, "PAID", "PENDING")</f>
        <v>PENDING</v>
      </c>
    </row>
    <row r="271" spans="1:14" x14ac:dyDescent="0.3">
      <c r="A271" s="31">
        <v>270</v>
      </c>
      <c r="B271" s="31" t="s">
        <v>513</v>
      </c>
      <c r="C271" s="32">
        <v>46051</v>
      </c>
      <c r="D271" s="33" t="s">
        <v>526</v>
      </c>
      <c r="E271" s="33" t="s">
        <v>527</v>
      </c>
      <c r="F271" s="34">
        <v>8136</v>
      </c>
      <c r="G271" s="35">
        <v>46076</v>
      </c>
      <c r="H271" s="36">
        <v>0</v>
      </c>
      <c r="I271" s="36">
        <f t="shared" si="17"/>
        <v>8136</v>
      </c>
      <c r="J271" s="33">
        <f t="shared" ca="1" si="18"/>
        <v>97</v>
      </c>
      <c r="K271" s="33" t="str">
        <f t="shared" ca="1" si="19"/>
        <v>90+ Days</v>
      </c>
      <c r="L271" s="33" t="str">
        <f t="shared" ca="1" si="20"/>
        <v>HIGH RISK</v>
      </c>
      <c r="M271" s="33" t="s">
        <v>528</v>
      </c>
      <c r="N271" s="7" t="str">
        <f>IF(MasterARReport[[#This Row],[Outstanding Amount]]=0, "PAID", "PENDING")</f>
        <v>PENDING</v>
      </c>
    </row>
    <row r="272" spans="1:14" x14ac:dyDescent="0.3">
      <c r="A272" s="8">
        <v>271</v>
      </c>
      <c r="B272" s="8" t="s">
        <v>513</v>
      </c>
      <c r="C272" s="9">
        <v>46050</v>
      </c>
      <c r="D272" s="10" t="s">
        <v>529</v>
      </c>
      <c r="E272" s="10" t="s">
        <v>530</v>
      </c>
      <c r="F272" s="11">
        <v>3000</v>
      </c>
      <c r="G272" s="12">
        <v>46075</v>
      </c>
      <c r="H272" s="13">
        <v>2600</v>
      </c>
      <c r="I272" s="13">
        <f t="shared" si="17"/>
        <v>400</v>
      </c>
      <c r="J272" s="10">
        <f t="shared" ca="1" si="18"/>
        <v>98</v>
      </c>
      <c r="K272" s="10" t="str">
        <f t="shared" ca="1" si="19"/>
        <v>90+ Days</v>
      </c>
      <c r="L272" s="10" t="str">
        <f t="shared" ca="1" si="20"/>
        <v>HIGH RISK</v>
      </c>
      <c r="M272" s="10" t="s">
        <v>531</v>
      </c>
      <c r="N272" s="7" t="str">
        <f>IF(MasterARReport[[#This Row],[Outstanding Amount]]=0, "PAID", "PENDING")</f>
        <v>PENDING</v>
      </c>
    </row>
    <row r="273" spans="1:14" x14ac:dyDescent="0.3">
      <c r="A273" s="31">
        <v>272</v>
      </c>
      <c r="B273" s="31" t="s">
        <v>513</v>
      </c>
      <c r="C273" s="32">
        <v>46027</v>
      </c>
      <c r="D273" s="33" t="s">
        <v>532</v>
      </c>
      <c r="E273" s="33" t="s">
        <v>533</v>
      </c>
      <c r="F273" s="34">
        <v>13733</v>
      </c>
      <c r="G273" s="35">
        <v>46027</v>
      </c>
      <c r="H273" s="36">
        <v>0</v>
      </c>
      <c r="I273" s="36">
        <f t="shared" si="17"/>
        <v>13733</v>
      </c>
      <c r="J273" s="33">
        <f t="shared" ca="1" si="18"/>
        <v>146</v>
      </c>
      <c r="K273" s="33" t="str">
        <f t="shared" ca="1" si="19"/>
        <v>90+ Days</v>
      </c>
      <c r="L273" s="33" t="str">
        <f t="shared" ca="1" si="20"/>
        <v>HIGH RISK</v>
      </c>
      <c r="M273" s="33" t="s">
        <v>102</v>
      </c>
      <c r="N273" s="7" t="str">
        <f>IF(MasterARReport[[#This Row],[Outstanding Amount]]=0, "PAID", "PENDING")</f>
        <v>PENDING</v>
      </c>
    </row>
    <row r="274" spans="1:14" x14ac:dyDescent="0.3">
      <c r="A274" s="8">
        <v>273</v>
      </c>
      <c r="B274" s="8" t="s">
        <v>513</v>
      </c>
      <c r="C274" s="9">
        <v>46027</v>
      </c>
      <c r="D274" s="10" t="s">
        <v>534</v>
      </c>
      <c r="E274" s="10" t="s">
        <v>533</v>
      </c>
      <c r="F274" s="11">
        <v>13733</v>
      </c>
      <c r="G274" s="12">
        <v>46027</v>
      </c>
      <c r="H274" s="13">
        <v>0</v>
      </c>
      <c r="I274" s="13">
        <f t="shared" si="17"/>
        <v>13733</v>
      </c>
      <c r="J274" s="10">
        <f t="shared" ca="1" si="18"/>
        <v>146</v>
      </c>
      <c r="K274" s="10" t="str">
        <f t="shared" ca="1" si="19"/>
        <v>90+ Days</v>
      </c>
      <c r="L274" s="10" t="str">
        <f t="shared" ca="1" si="20"/>
        <v>HIGH RISK</v>
      </c>
      <c r="M274" s="10" t="str">
        <f>M273</f>
        <v>Stock Returned</v>
      </c>
      <c r="N274" s="7" t="str">
        <f>IF(MasterARReport[[#This Row],[Outstanding Amount]]=0, "PAID", "PENDING")</f>
        <v>PENDING</v>
      </c>
    </row>
    <row r="275" spans="1:14" x14ac:dyDescent="0.3">
      <c r="A275" s="1">
        <v>274</v>
      </c>
      <c r="B275" s="1" t="s">
        <v>513</v>
      </c>
      <c r="C275" s="2">
        <v>46107</v>
      </c>
      <c r="D275" s="3" t="s">
        <v>535</v>
      </c>
      <c r="E275" s="3" t="s">
        <v>536</v>
      </c>
      <c r="F275" s="4">
        <v>100</v>
      </c>
      <c r="G275" s="5">
        <v>46132</v>
      </c>
      <c r="H275" s="6">
        <v>0</v>
      </c>
      <c r="I275" s="6">
        <f t="shared" si="17"/>
        <v>100</v>
      </c>
      <c r="J275" s="3">
        <f t="shared" ca="1" si="18"/>
        <v>41</v>
      </c>
      <c r="K275" s="3" t="str">
        <f t="shared" ca="1" si="19"/>
        <v>31-60 Days</v>
      </c>
      <c r="L275" s="3" t="str">
        <f t="shared" ca="1" si="20"/>
        <v>Low-Medium</v>
      </c>
      <c r="M275" s="3" t="s">
        <v>43</v>
      </c>
      <c r="N275" s="7" t="str">
        <f>IF(MasterARReport[[#This Row],[Outstanding Amount]]=0, "PAID", "PENDING")</f>
        <v>PENDING</v>
      </c>
    </row>
    <row r="276" spans="1:14" x14ac:dyDescent="0.3">
      <c r="A276" s="26">
        <v>275</v>
      </c>
      <c r="B276" s="26" t="s">
        <v>513</v>
      </c>
      <c r="C276" s="27">
        <v>46136</v>
      </c>
      <c r="D276" s="7" t="s">
        <v>537</v>
      </c>
      <c r="E276" s="7" t="s">
        <v>538</v>
      </c>
      <c r="F276" s="28">
        <v>2544</v>
      </c>
      <c r="G276" s="29">
        <v>46161</v>
      </c>
      <c r="H276" s="30">
        <f>[1]PAYMENTS!C43</f>
        <v>2544</v>
      </c>
      <c r="I276" s="30">
        <f t="shared" si="17"/>
        <v>0</v>
      </c>
      <c r="J276" s="7">
        <f t="shared" ca="1" si="18"/>
        <v>12</v>
      </c>
      <c r="K276" s="7" t="str">
        <f t="shared" si="19"/>
        <v>Current</v>
      </c>
      <c r="L276" s="7" t="str">
        <f t="shared" si="20"/>
        <v>-</v>
      </c>
      <c r="M276" s="7" t="str">
        <f>[1]PAYMENTS!D43</f>
        <v xml:space="preserve">Paid Online </v>
      </c>
      <c r="N276" s="7" t="str">
        <f>IF(MasterARReport[[#This Row],[Outstanding Amount]]=0, "PAID", "PENDING")</f>
        <v>PAID</v>
      </c>
    </row>
    <row r="277" spans="1:14" x14ac:dyDescent="0.3">
      <c r="A277" s="37">
        <v>276</v>
      </c>
      <c r="B277" s="37" t="s">
        <v>513</v>
      </c>
      <c r="C277" s="38">
        <v>46127</v>
      </c>
      <c r="D277" s="39" t="s">
        <v>539</v>
      </c>
      <c r="E277" s="39" t="s">
        <v>540</v>
      </c>
      <c r="F277" s="40">
        <v>29883</v>
      </c>
      <c r="G277" s="41">
        <v>46152</v>
      </c>
      <c r="H277" s="42">
        <f>[1]PAYMENTS!C60</f>
        <v>29883</v>
      </c>
      <c r="I277" s="42">
        <f t="shared" si="17"/>
        <v>0</v>
      </c>
      <c r="J277" s="39">
        <f t="shared" ca="1" si="18"/>
        <v>21</v>
      </c>
      <c r="K277" s="39" t="str">
        <f t="shared" si="19"/>
        <v>Current</v>
      </c>
      <c r="L277" s="39" t="str">
        <f t="shared" si="20"/>
        <v>-</v>
      </c>
      <c r="M277" s="39" t="str">
        <f>[1]PAYMENTS!D60</f>
        <v>Paid by Cheque</v>
      </c>
      <c r="N277" s="7" t="str">
        <f>IF(MasterARReport[[#This Row],[Outstanding Amount]]=0, "PAID", "PENDING")</f>
        <v>PAID</v>
      </c>
    </row>
    <row r="278" spans="1:14" x14ac:dyDescent="0.3">
      <c r="A278" s="8">
        <v>277</v>
      </c>
      <c r="B278" s="8" t="s">
        <v>513</v>
      </c>
      <c r="C278" s="9">
        <v>45960</v>
      </c>
      <c r="D278" s="10" t="s">
        <v>541</v>
      </c>
      <c r="E278" s="10" t="s">
        <v>542</v>
      </c>
      <c r="F278" s="11">
        <v>500</v>
      </c>
      <c r="G278" s="12">
        <v>45985</v>
      </c>
      <c r="H278" s="13">
        <v>0</v>
      </c>
      <c r="I278" s="13">
        <f t="shared" si="17"/>
        <v>500</v>
      </c>
      <c r="J278" s="10">
        <f t="shared" ca="1" si="18"/>
        <v>188</v>
      </c>
      <c r="K278" s="10" t="str">
        <f t="shared" ca="1" si="19"/>
        <v>90+ Days</v>
      </c>
      <c r="L278" s="10" t="str">
        <f t="shared" ca="1" si="20"/>
        <v>HIGH RISK</v>
      </c>
      <c r="M278" s="10"/>
      <c r="N278" s="7" t="str">
        <f>IF(MasterARReport[[#This Row],[Outstanding Amount]]=0, "PAID", "PENDING")</f>
        <v>PENDING</v>
      </c>
    </row>
    <row r="279" spans="1:14" x14ac:dyDescent="0.3">
      <c r="A279" s="1">
        <v>278</v>
      </c>
      <c r="B279" s="1" t="s">
        <v>513</v>
      </c>
      <c r="C279" s="2">
        <v>46095</v>
      </c>
      <c r="D279" s="3" t="s">
        <v>543</v>
      </c>
      <c r="E279" s="3" t="s">
        <v>542</v>
      </c>
      <c r="F279" s="4">
        <v>59388</v>
      </c>
      <c r="G279" s="5">
        <v>46120</v>
      </c>
      <c r="H279" s="6">
        <f>[1]PAYMENTS!C26</f>
        <v>59388</v>
      </c>
      <c r="I279" s="6">
        <f t="shared" si="17"/>
        <v>0</v>
      </c>
      <c r="J279" s="3">
        <f t="shared" ca="1" si="18"/>
        <v>53</v>
      </c>
      <c r="K279" s="3" t="str">
        <f t="shared" si="19"/>
        <v>Current</v>
      </c>
      <c r="L279" s="3" t="str">
        <f t="shared" si="20"/>
        <v>-</v>
      </c>
      <c r="M279" s="3" t="str">
        <f>[1]PAYMENTS!D26</f>
        <v>Paid by Cheque</v>
      </c>
      <c r="N279" s="7" t="str">
        <f>IF(MasterARReport[[#This Row],[Outstanding Amount]]=0, "PAID", "PENDING")</f>
        <v>PAID</v>
      </c>
    </row>
    <row r="280" spans="1:14" x14ac:dyDescent="0.3">
      <c r="A280" s="26">
        <v>279</v>
      </c>
      <c r="B280" s="26" t="s">
        <v>513</v>
      </c>
      <c r="C280" s="27">
        <v>46141</v>
      </c>
      <c r="D280" s="7" t="s">
        <v>544</v>
      </c>
      <c r="E280" s="7" t="s">
        <v>542</v>
      </c>
      <c r="F280" s="28">
        <v>2580</v>
      </c>
      <c r="G280" s="29">
        <v>46166</v>
      </c>
      <c r="H280" s="30">
        <v>0</v>
      </c>
      <c r="I280" s="30">
        <f t="shared" si="17"/>
        <v>2580</v>
      </c>
      <c r="J280" s="7">
        <f t="shared" ca="1" si="18"/>
        <v>7</v>
      </c>
      <c r="K280" s="7" t="str">
        <f t="shared" ca="1" si="19"/>
        <v>0-30 Days</v>
      </c>
      <c r="L280" s="7" t="str">
        <f t="shared" ca="1" si="20"/>
        <v>Low</v>
      </c>
      <c r="M280" s="7"/>
      <c r="N280" s="7" t="str">
        <f>IF(MasterARReport[[#This Row],[Outstanding Amount]]=0, "PAID", "PENDING")</f>
        <v>PENDING</v>
      </c>
    </row>
    <row r="281" spans="1:14" x14ac:dyDescent="0.3">
      <c r="A281" s="37">
        <v>280</v>
      </c>
      <c r="B281" s="37" t="s">
        <v>513</v>
      </c>
      <c r="C281" s="38">
        <v>46130</v>
      </c>
      <c r="D281" s="39" t="s">
        <v>545</v>
      </c>
      <c r="E281" s="39" t="s">
        <v>546</v>
      </c>
      <c r="F281" s="40">
        <v>5960</v>
      </c>
      <c r="G281" s="41">
        <v>46155</v>
      </c>
      <c r="H281" s="42">
        <f>[1]PAYMENTS!C27</f>
        <v>5960</v>
      </c>
      <c r="I281" s="42">
        <f t="shared" si="17"/>
        <v>0</v>
      </c>
      <c r="J281" s="39">
        <f t="shared" ca="1" si="18"/>
        <v>18</v>
      </c>
      <c r="K281" s="39" t="str">
        <f t="shared" si="19"/>
        <v>Current</v>
      </c>
      <c r="L281" s="39" t="str">
        <f t="shared" si="20"/>
        <v>-</v>
      </c>
      <c r="M281" s="39" t="str">
        <f>[1]PAYMENTS!D27</f>
        <v>Paid by Cheque</v>
      </c>
      <c r="N281" s="7" t="str">
        <f>IF(MasterARReport[[#This Row],[Outstanding Amount]]=0, "PAID", "PENDING")</f>
        <v>PAID</v>
      </c>
    </row>
    <row r="282" spans="1:14" x14ac:dyDescent="0.3">
      <c r="A282" s="56">
        <v>281</v>
      </c>
      <c r="B282" s="56" t="s">
        <v>513</v>
      </c>
      <c r="C282" s="57">
        <v>46148</v>
      </c>
      <c r="D282" s="58" t="s">
        <v>547</v>
      </c>
      <c r="E282" s="58" t="s">
        <v>546</v>
      </c>
      <c r="F282" s="59">
        <v>916</v>
      </c>
      <c r="G282" s="60">
        <v>46173</v>
      </c>
      <c r="H282" s="61">
        <f>[1]PAYMENTS!C28</f>
        <v>916</v>
      </c>
      <c r="I282" s="61">
        <f t="shared" si="17"/>
        <v>0</v>
      </c>
      <c r="J282" s="58">
        <f t="shared" ca="1" si="18"/>
        <v>0</v>
      </c>
      <c r="K282" s="58" t="str">
        <f t="shared" si="19"/>
        <v>Current</v>
      </c>
      <c r="L282" s="58" t="str">
        <f t="shared" si="20"/>
        <v>-</v>
      </c>
      <c r="M282" s="58" t="str">
        <f>[1]PAYMENTS!D28</f>
        <v>Paid by Cheque</v>
      </c>
      <c r="N282" s="7" t="str">
        <f>IF(MasterARReport[[#This Row],[Outstanding Amount]]=0, "PAID", "PENDING")</f>
        <v>PAID</v>
      </c>
    </row>
    <row r="283" spans="1:14" x14ac:dyDescent="0.3">
      <c r="A283" s="1">
        <v>282</v>
      </c>
      <c r="B283" s="1" t="s">
        <v>513</v>
      </c>
      <c r="C283" s="2">
        <v>46101</v>
      </c>
      <c r="D283" s="3" t="s">
        <v>548</v>
      </c>
      <c r="E283" s="3" t="s">
        <v>549</v>
      </c>
      <c r="F283" s="4">
        <v>2476</v>
      </c>
      <c r="G283" s="5">
        <v>46126</v>
      </c>
      <c r="H283" s="6">
        <f>[1]PAYMENTS!C20</f>
        <v>2476</v>
      </c>
      <c r="I283" s="6">
        <f t="shared" si="17"/>
        <v>0</v>
      </c>
      <c r="J283" s="3">
        <f t="shared" ca="1" si="18"/>
        <v>47</v>
      </c>
      <c r="K283" s="3" t="str">
        <f t="shared" si="19"/>
        <v>Current</v>
      </c>
      <c r="L283" s="3" t="str">
        <f t="shared" si="20"/>
        <v>-</v>
      </c>
      <c r="M283" s="3" t="str">
        <f>[1]PAYMENTS!D20</f>
        <v xml:space="preserve">Paid Online </v>
      </c>
      <c r="N283" s="7" t="str">
        <f>IF(MasterARReport[[#This Row],[Outstanding Amount]]=0, "PAID", "PENDING")</f>
        <v>PAID</v>
      </c>
    </row>
    <row r="284" spans="1:14" x14ac:dyDescent="0.3">
      <c r="A284" s="20">
        <v>283</v>
      </c>
      <c r="B284" s="20" t="s">
        <v>513</v>
      </c>
      <c r="C284" s="21">
        <v>46105</v>
      </c>
      <c r="D284" s="22" t="s">
        <v>550</v>
      </c>
      <c r="E284" s="22" t="s">
        <v>551</v>
      </c>
      <c r="F284" s="23">
        <v>20549</v>
      </c>
      <c r="G284" s="24">
        <v>46130</v>
      </c>
      <c r="H284" s="25">
        <v>0</v>
      </c>
      <c r="I284" s="25">
        <f t="shared" si="17"/>
        <v>20549</v>
      </c>
      <c r="J284" s="22">
        <f t="shared" ca="1" si="18"/>
        <v>43</v>
      </c>
      <c r="K284" s="22" t="str">
        <f t="shared" ca="1" si="19"/>
        <v>31-60 Days</v>
      </c>
      <c r="L284" s="22" t="str">
        <f t="shared" ca="1" si="20"/>
        <v>Low-Medium</v>
      </c>
      <c r="M284" s="22" t="s">
        <v>456</v>
      </c>
      <c r="N284" s="7" t="str">
        <f>IF(MasterARReport[[#This Row],[Outstanding Amount]]=0, "PAID", "PENDING")</f>
        <v>PENDING</v>
      </c>
    </row>
    <row r="285" spans="1:14" x14ac:dyDescent="0.3">
      <c r="A285" s="1">
        <v>284</v>
      </c>
      <c r="B285" s="1" t="s">
        <v>513</v>
      </c>
      <c r="C285" s="2">
        <v>46112</v>
      </c>
      <c r="D285" s="3" t="s">
        <v>552</v>
      </c>
      <c r="E285" s="3" t="s">
        <v>551</v>
      </c>
      <c r="F285" s="4">
        <v>12705</v>
      </c>
      <c r="G285" s="5">
        <v>46137</v>
      </c>
      <c r="H285" s="6">
        <v>0</v>
      </c>
      <c r="I285" s="6">
        <f t="shared" si="17"/>
        <v>12705</v>
      </c>
      <c r="J285" s="3">
        <f t="shared" ca="1" si="18"/>
        <v>36</v>
      </c>
      <c r="K285" s="3" t="str">
        <f t="shared" ca="1" si="19"/>
        <v>31-60 Days</v>
      </c>
      <c r="L285" s="3" t="str">
        <f t="shared" ca="1" si="20"/>
        <v>Low-Medium</v>
      </c>
      <c r="M285" s="3" t="s">
        <v>456</v>
      </c>
      <c r="N285" s="7" t="str">
        <f>IF(MasterARReport[[#This Row],[Outstanding Amount]]=0, "PAID", "PENDING")</f>
        <v>PENDING</v>
      </c>
    </row>
    <row r="286" spans="1:14" x14ac:dyDescent="0.3">
      <c r="A286" s="20">
        <v>285</v>
      </c>
      <c r="B286" s="20" t="s">
        <v>513</v>
      </c>
      <c r="C286" s="21">
        <v>46112</v>
      </c>
      <c r="D286" s="22" t="s">
        <v>553</v>
      </c>
      <c r="E286" s="22" t="s">
        <v>554</v>
      </c>
      <c r="F286" s="23">
        <v>5520</v>
      </c>
      <c r="G286" s="24">
        <v>46137</v>
      </c>
      <c r="H286" s="25">
        <v>0</v>
      </c>
      <c r="I286" s="25">
        <f t="shared" si="17"/>
        <v>5520</v>
      </c>
      <c r="J286" s="22">
        <f t="shared" ca="1" si="18"/>
        <v>36</v>
      </c>
      <c r="K286" s="22" t="str">
        <f t="shared" ca="1" si="19"/>
        <v>31-60 Days</v>
      </c>
      <c r="L286" s="22" t="str">
        <f t="shared" ca="1" si="20"/>
        <v>Low-Medium</v>
      </c>
      <c r="M286" s="22"/>
      <c r="N286" s="7" t="str">
        <f>IF(MasterARReport[[#This Row],[Outstanding Amount]]=0, "PAID", "PENDING")</f>
        <v>PENDING</v>
      </c>
    </row>
    <row r="287" spans="1:14" x14ac:dyDescent="0.3">
      <c r="A287" s="31">
        <v>286</v>
      </c>
      <c r="B287" s="31" t="s">
        <v>513</v>
      </c>
      <c r="C287" s="32">
        <v>45470</v>
      </c>
      <c r="D287" s="33" t="s">
        <v>555</v>
      </c>
      <c r="E287" s="33" t="s">
        <v>556</v>
      </c>
      <c r="F287" s="34">
        <v>4947</v>
      </c>
      <c r="G287" s="35">
        <v>45495</v>
      </c>
      <c r="H287" s="36">
        <v>0</v>
      </c>
      <c r="I287" s="36">
        <f t="shared" si="17"/>
        <v>4947</v>
      </c>
      <c r="J287" s="33">
        <f t="shared" ca="1" si="18"/>
        <v>678</v>
      </c>
      <c r="K287" s="33" t="str">
        <f t="shared" ca="1" si="19"/>
        <v>90+ Days</v>
      </c>
      <c r="L287" s="33" t="str">
        <f t="shared" ca="1" si="20"/>
        <v>HIGH RISK</v>
      </c>
      <c r="M287" s="33"/>
      <c r="N287" s="7" t="str">
        <f>IF(MasterARReport[[#This Row],[Outstanding Amount]]=0, "PAID", "PENDING")</f>
        <v>PENDING</v>
      </c>
    </row>
    <row r="288" spans="1:14" x14ac:dyDescent="0.3">
      <c r="A288" s="26">
        <v>287</v>
      </c>
      <c r="B288" s="26" t="s">
        <v>513</v>
      </c>
      <c r="C288" s="27">
        <v>46126</v>
      </c>
      <c r="D288" s="7" t="s">
        <v>557</v>
      </c>
      <c r="E288" s="7" t="s">
        <v>556</v>
      </c>
      <c r="F288" s="28">
        <v>13863</v>
      </c>
      <c r="G288" s="29">
        <v>46151</v>
      </c>
      <c r="H288" s="30">
        <v>0</v>
      </c>
      <c r="I288" s="30">
        <f t="shared" si="17"/>
        <v>13863</v>
      </c>
      <c r="J288" s="7">
        <f t="shared" ca="1" si="18"/>
        <v>22</v>
      </c>
      <c r="K288" s="7" t="str">
        <f t="shared" ca="1" si="19"/>
        <v>0-30 Days</v>
      </c>
      <c r="L288" s="7" t="str">
        <f t="shared" ca="1" si="20"/>
        <v>Low</v>
      </c>
      <c r="M288" s="7"/>
      <c r="N288" s="7" t="str">
        <f>IF(MasterARReport[[#This Row],[Outstanding Amount]]=0, "PAID", "PENDING")</f>
        <v>PENDING</v>
      </c>
    </row>
    <row r="289" spans="1:14" x14ac:dyDescent="0.3">
      <c r="A289" s="31">
        <v>288</v>
      </c>
      <c r="B289" s="31" t="s">
        <v>513</v>
      </c>
      <c r="C289" s="32">
        <v>45362</v>
      </c>
      <c r="D289" s="33" t="s">
        <v>558</v>
      </c>
      <c r="E289" s="33" t="s">
        <v>559</v>
      </c>
      <c r="F289" s="34">
        <v>2733</v>
      </c>
      <c r="G289" s="35">
        <v>45362</v>
      </c>
      <c r="H289" s="36">
        <v>0</v>
      </c>
      <c r="I289" s="36">
        <f t="shared" si="17"/>
        <v>2733</v>
      </c>
      <c r="J289" s="33">
        <f t="shared" ca="1" si="18"/>
        <v>811</v>
      </c>
      <c r="K289" s="33" t="str">
        <f t="shared" ca="1" si="19"/>
        <v>90+ Days</v>
      </c>
      <c r="L289" s="33" t="str">
        <f t="shared" ca="1" si="20"/>
        <v>HIGH RISK</v>
      </c>
      <c r="M289" s="33" t="s">
        <v>560</v>
      </c>
      <c r="N289" s="7" t="str">
        <f>IF(MasterARReport[[#This Row],[Outstanding Amount]]=0, "PAID", "PENDING")</f>
        <v>PENDING</v>
      </c>
    </row>
    <row r="290" spans="1:14" x14ac:dyDescent="0.3">
      <c r="A290" s="20">
        <v>289</v>
      </c>
      <c r="B290" s="20" t="s">
        <v>513</v>
      </c>
      <c r="C290" s="21">
        <v>46107</v>
      </c>
      <c r="D290" s="22" t="s">
        <v>561</v>
      </c>
      <c r="E290" s="22" t="s">
        <v>562</v>
      </c>
      <c r="F290" s="23">
        <v>100</v>
      </c>
      <c r="G290" s="24">
        <v>46132</v>
      </c>
      <c r="H290" s="25">
        <v>0</v>
      </c>
      <c r="I290" s="25">
        <f t="shared" si="17"/>
        <v>100</v>
      </c>
      <c r="J290" s="22">
        <f t="shared" ca="1" si="18"/>
        <v>41</v>
      </c>
      <c r="K290" s="22" t="str">
        <f t="shared" ca="1" si="19"/>
        <v>31-60 Days</v>
      </c>
      <c r="L290" s="22" t="str">
        <f t="shared" ca="1" si="20"/>
        <v>Low-Medium</v>
      </c>
      <c r="M290" s="22" t="s">
        <v>43</v>
      </c>
      <c r="N290" s="7" t="str">
        <f>IF(MasterARReport[[#This Row],[Outstanding Amount]]=0, "PAID", "PENDING")</f>
        <v>PENDING</v>
      </c>
    </row>
    <row r="291" spans="1:14" x14ac:dyDescent="0.3">
      <c r="A291" s="1">
        <v>290</v>
      </c>
      <c r="B291" s="1" t="s">
        <v>513</v>
      </c>
      <c r="C291" s="2">
        <v>46107</v>
      </c>
      <c r="D291" s="3" t="s">
        <v>563</v>
      </c>
      <c r="E291" s="3" t="s">
        <v>564</v>
      </c>
      <c r="F291" s="4">
        <v>100</v>
      </c>
      <c r="G291" s="5">
        <v>46132</v>
      </c>
      <c r="H291" s="6">
        <v>0</v>
      </c>
      <c r="I291" s="6">
        <f t="shared" si="17"/>
        <v>100</v>
      </c>
      <c r="J291" s="3">
        <f t="shared" ca="1" si="18"/>
        <v>41</v>
      </c>
      <c r="K291" s="3" t="str">
        <f t="shared" ca="1" si="19"/>
        <v>31-60 Days</v>
      </c>
      <c r="L291" s="3" t="str">
        <f t="shared" ca="1" si="20"/>
        <v>Low-Medium</v>
      </c>
      <c r="M291" s="3"/>
      <c r="N291" s="7" t="str">
        <f>IF(MasterARReport[[#This Row],[Outstanding Amount]]=0, "PAID", "PENDING")</f>
        <v>PENDING</v>
      </c>
    </row>
    <row r="292" spans="1:14" x14ac:dyDescent="0.3">
      <c r="A292" s="26">
        <v>291</v>
      </c>
      <c r="B292" s="26" t="s">
        <v>513</v>
      </c>
      <c r="C292" s="27">
        <v>46122</v>
      </c>
      <c r="D292" s="7" t="s">
        <v>565</v>
      </c>
      <c r="E292" s="7" t="s">
        <v>566</v>
      </c>
      <c r="F292" s="28">
        <v>37104</v>
      </c>
      <c r="G292" s="29">
        <v>46147</v>
      </c>
      <c r="H292" s="30">
        <v>0</v>
      </c>
      <c r="I292" s="30">
        <f t="shared" si="17"/>
        <v>37104</v>
      </c>
      <c r="J292" s="7">
        <f t="shared" ca="1" si="18"/>
        <v>26</v>
      </c>
      <c r="K292" s="7" t="str">
        <f t="shared" ca="1" si="19"/>
        <v>0-30 Days</v>
      </c>
      <c r="L292" s="7" t="str">
        <f t="shared" ca="1" si="20"/>
        <v>Low</v>
      </c>
      <c r="M292" s="7"/>
      <c r="N292" s="7" t="str">
        <f>IF(MasterARReport[[#This Row],[Outstanding Amount]]=0, "PAID", "PENDING")</f>
        <v>PENDING</v>
      </c>
    </row>
    <row r="293" spans="1:14" x14ac:dyDescent="0.3">
      <c r="A293" s="1">
        <v>292</v>
      </c>
      <c r="B293" s="1" t="s">
        <v>513</v>
      </c>
      <c r="C293" s="2">
        <v>46112</v>
      </c>
      <c r="D293" s="3" t="s">
        <v>567</v>
      </c>
      <c r="E293" s="3" t="s">
        <v>568</v>
      </c>
      <c r="F293" s="4">
        <v>15873</v>
      </c>
      <c r="G293" s="5">
        <v>46137</v>
      </c>
      <c r="H293" s="6">
        <f>[1]PAYMENTS!C15</f>
        <v>15873</v>
      </c>
      <c r="I293" s="6">
        <f t="shared" si="17"/>
        <v>0</v>
      </c>
      <c r="J293" s="3">
        <f t="shared" ca="1" si="18"/>
        <v>36</v>
      </c>
      <c r="K293" s="3" t="str">
        <f t="shared" si="19"/>
        <v>Current</v>
      </c>
      <c r="L293" s="3" t="str">
        <f t="shared" si="20"/>
        <v>-</v>
      </c>
      <c r="M293" s="3" t="str">
        <f>[1]PAYMENTS!D15</f>
        <v>Paid by Cheque</v>
      </c>
      <c r="N293" s="7" t="str">
        <f>IF(MasterARReport[[#This Row],[Outstanding Amount]]=0, "PAID", "PENDING")</f>
        <v>PAID</v>
      </c>
    </row>
    <row r="294" spans="1:14" x14ac:dyDescent="0.3">
      <c r="A294" s="26">
        <v>293</v>
      </c>
      <c r="B294" s="26" t="s">
        <v>513</v>
      </c>
      <c r="C294" s="27">
        <v>46118</v>
      </c>
      <c r="D294" s="7" t="s">
        <v>569</v>
      </c>
      <c r="E294" s="7" t="s">
        <v>568</v>
      </c>
      <c r="F294" s="28">
        <v>7623</v>
      </c>
      <c r="G294" s="29">
        <v>46143</v>
      </c>
      <c r="H294" s="6">
        <f>[1]PAYMENTS!C16</f>
        <v>7623</v>
      </c>
      <c r="I294" s="30">
        <f t="shared" si="17"/>
        <v>0</v>
      </c>
      <c r="J294" s="7">
        <f t="shared" ca="1" si="18"/>
        <v>30</v>
      </c>
      <c r="K294" s="7" t="str">
        <f t="shared" si="19"/>
        <v>Current</v>
      </c>
      <c r="L294" s="7" t="str">
        <f t="shared" si="20"/>
        <v>-</v>
      </c>
      <c r="M294" s="3" t="str">
        <f>[1]PAYMENTS!D16</f>
        <v>Paid by Cheque</v>
      </c>
      <c r="N294" s="7" t="str">
        <f>IF(MasterARReport[[#This Row],[Outstanding Amount]]=0, "PAID", "PENDING")</f>
        <v>PAID</v>
      </c>
    </row>
    <row r="295" spans="1:14" x14ac:dyDescent="0.3">
      <c r="A295" s="56">
        <v>294</v>
      </c>
      <c r="B295" s="56" t="s">
        <v>513</v>
      </c>
      <c r="C295" s="57">
        <v>46156</v>
      </c>
      <c r="D295" s="58" t="s">
        <v>570</v>
      </c>
      <c r="E295" s="58" t="s">
        <v>568</v>
      </c>
      <c r="F295" s="59">
        <v>22152</v>
      </c>
      <c r="G295" s="60">
        <v>46181</v>
      </c>
      <c r="H295" s="61">
        <v>0</v>
      </c>
      <c r="I295" s="61">
        <f t="shared" si="17"/>
        <v>22152</v>
      </c>
      <c r="J295" s="58">
        <f t="shared" ca="1" si="18"/>
        <v>0</v>
      </c>
      <c r="K295" s="58" t="str">
        <f t="shared" ca="1" si="19"/>
        <v>0-30 Days</v>
      </c>
      <c r="L295" s="58" t="str">
        <f t="shared" ca="1" si="20"/>
        <v>Low</v>
      </c>
      <c r="M295" s="58"/>
      <c r="N295" s="7" t="str">
        <f>IF(MasterARReport[[#This Row],[Outstanding Amount]]=0, "PAID", "PENDING")</f>
        <v>PENDING</v>
      </c>
    </row>
    <row r="296" spans="1:14" x14ac:dyDescent="0.3">
      <c r="A296" s="43">
        <v>295</v>
      </c>
      <c r="B296" s="43" t="s">
        <v>513</v>
      </c>
      <c r="C296" s="44">
        <v>46062</v>
      </c>
      <c r="D296" s="45" t="s">
        <v>571</v>
      </c>
      <c r="E296" s="45" t="s">
        <v>572</v>
      </c>
      <c r="F296" s="46">
        <v>2852</v>
      </c>
      <c r="G296" s="47">
        <v>46087</v>
      </c>
      <c r="H296" s="48">
        <f>[1]PAYMENTS!C42</f>
        <v>2852</v>
      </c>
      <c r="I296" s="48">
        <f t="shared" si="17"/>
        <v>0</v>
      </c>
      <c r="J296" s="45">
        <f t="shared" ca="1" si="18"/>
        <v>86</v>
      </c>
      <c r="K296" s="45" t="str">
        <f t="shared" si="19"/>
        <v>Current</v>
      </c>
      <c r="L296" s="45" t="str">
        <f t="shared" si="20"/>
        <v>-</v>
      </c>
      <c r="M296" s="45" t="str">
        <f>[1]PAYMENTS!D42</f>
        <v xml:space="preserve">Paid Online </v>
      </c>
      <c r="N296" s="7" t="str">
        <f>IF(MasterARReport[[#This Row],[Outstanding Amount]]=0, "PAID", "PENDING")</f>
        <v>PAID</v>
      </c>
    </row>
    <row r="297" spans="1:14" x14ac:dyDescent="0.3">
      <c r="A297" s="14">
        <v>296</v>
      </c>
      <c r="B297" s="14" t="s">
        <v>513</v>
      </c>
      <c r="C297" s="15">
        <v>46071</v>
      </c>
      <c r="D297" s="16" t="s">
        <v>573</v>
      </c>
      <c r="E297" s="16" t="s">
        <v>574</v>
      </c>
      <c r="F297" s="17">
        <v>42121</v>
      </c>
      <c r="G297" s="18">
        <v>46096</v>
      </c>
      <c r="H297" s="19">
        <f>[1]PAYMENTS!C21</f>
        <v>20000</v>
      </c>
      <c r="I297" s="19">
        <f t="shared" si="17"/>
        <v>22121</v>
      </c>
      <c r="J297" s="16">
        <f t="shared" ca="1" si="18"/>
        <v>77</v>
      </c>
      <c r="K297" s="16" t="str">
        <f t="shared" ca="1" si="19"/>
        <v>61-90 Days</v>
      </c>
      <c r="L297" s="16" t="str">
        <f t="shared" ca="1" si="20"/>
        <v>Medium</v>
      </c>
      <c r="M297" s="16"/>
      <c r="N297" s="7" t="str">
        <f>IF(MasterARReport[[#This Row],[Outstanding Amount]]=0, "PAID", "PENDING")</f>
        <v>PENDING</v>
      </c>
    </row>
    <row r="298" spans="1:14" x14ac:dyDescent="0.3">
      <c r="A298" s="20">
        <v>297</v>
      </c>
      <c r="B298" s="20" t="s">
        <v>513</v>
      </c>
      <c r="C298" s="21">
        <v>46111</v>
      </c>
      <c r="D298" s="22" t="s">
        <v>575</v>
      </c>
      <c r="E298" s="22" t="s">
        <v>576</v>
      </c>
      <c r="F298" s="23">
        <v>8190</v>
      </c>
      <c r="G298" s="24">
        <v>46136</v>
      </c>
      <c r="H298" s="25">
        <f>[1]PAYMENTS!C25</f>
        <v>8190</v>
      </c>
      <c r="I298" s="25">
        <f t="shared" si="17"/>
        <v>0</v>
      </c>
      <c r="J298" s="22">
        <f t="shared" ca="1" si="18"/>
        <v>37</v>
      </c>
      <c r="K298" s="22" t="str">
        <f t="shared" si="19"/>
        <v>Current</v>
      </c>
      <c r="L298" s="22" t="str">
        <f t="shared" si="20"/>
        <v>-</v>
      </c>
      <c r="M298" s="22" t="str">
        <f>[1]PAYMENTS!D25</f>
        <v xml:space="preserve">Paid Online </v>
      </c>
      <c r="N298" s="7" t="str">
        <f>IF(MasterARReport[[#This Row],[Outstanding Amount]]=0, "PAID", "PENDING")</f>
        <v>PAID</v>
      </c>
    </row>
    <row r="299" spans="1:14" x14ac:dyDescent="0.3">
      <c r="A299" s="31">
        <v>298</v>
      </c>
      <c r="B299" s="31" t="s">
        <v>513</v>
      </c>
      <c r="C299" s="32">
        <v>45954</v>
      </c>
      <c r="D299" s="33" t="s">
        <v>577</v>
      </c>
      <c r="E299" s="33" t="s">
        <v>578</v>
      </c>
      <c r="F299" s="34">
        <v>500</v>
      </c>
      <c r="G299" s="35">
        <v>45979</v>
      </c>
      <c r="H299" s="36">
        <v>0</v>
      </c>
      <c r="I299" s="36">
        <f t="shared" si="17"/>
        <v>500</v>
      </c>
      <c r="J299" s="33">
        <f t="shared" ca="1" si="18"/>
        <v>194</v>
      </c>
      <c r="K299" s="33" t="str">
        <f t="shared" ca="1" si="19"/>
        <v>90+ Days</v>
      </c>
      <c r="L299" s="33" t="str">
        <f t="shared" ca="1" si="20"/>
        <v>HIGH RISK</v>
      </c>
      <c r="M299" s="33" t="s">
        <v>105</v>
      </c>
      <c r="N299" s="7" t="str">
        <f>IF(MasterARReport[[#This Row],[Outstanding Amount]]=0, "PAID", "PENDING")</f>
        <v>PENDING</v>
      </c>
    </row>
    <row r="300" spans="1:14" x14ac:dyDescent="0.3">
      <c r="A300" s="26">
        <v>299</v>
      </c>
      <c r="B300" s="26" t="s">
        <v>513</v>
      </c>
      <c r="C300" s="27">
        <v>46118</v>
      </c>
      <c r="D300" s="7" t="s">
        <v>579</v>
      </c>
      <c r="E300" s="7" t="s">
        <v>578</v>
      </c>
      <c r="F300" s="28">
        <v>6100</v>
      </c>
      <c r="G300" s="29">
        <v>46143</v>
      </c>
      <c r="H300" s="30">
        <v>0</v>
      </c>
      <c r="I300" s="30">
        <f t="shared" si="17"/>
        <v>6100</v>
      </c>
      <c r="J300" s="7">
        <f t="shared" ca="1" si="18"/>
        <v>30</v>
      </c>
      <c r="K300" s="7" t="str">
        <f t="shared" ca="1" si="19"/>
        <v>0-30 Days</v>
      </c>
      <c r="L300" s="7" t="str">
        <f t="shared" ca="1" si="20"/>
        <v>Low</v>
      </c>
      <c r="M300" s="7" t="s">
        <v>105</v>
      </c>
      <c r="N300" s="7" t="str">
        <f>IF(MasterARReport[[#This Row],[Outstanding Amount]]=0, "PAID", "PENDING")</f>
        <v>PENDING</v>
      </c>
    </row>
    <row r="301" spans="1:14" x14ac:dyDescent="0.3">
      <c r="A301" s="1">
        <v>300</v>
      </c>
      <c r="B301" s="1" t="s">
        <v>513</v>
      </c>
      <c r="C301" s="2">
        <v>46105</v>
      </c>
      <c r="D301" s="3" t="s">
        <v>580</v>
      </c>
      <c r="E301" s="3" t="s">
        <v>581</v>
      </c>
      <c r="F301" s="4">
        <v>2287</v>
      </c>
      <c r="G301" s="5">
        <v>46130</v>
      </c>
      <c r="H301" s="6">
        <f>[1]PAYMENTS!C19</f>
        <v>2287</v>
      </c>
      <c r="I301" s="6">
        <f t="shared" si="17"/>
        <v>0</v>
      </c>
      <c r="J301" s="3">
        <f t="shared" ca="1" si="18"/>
        <v>43</v>
      </c>
      <c r="K301" s="3" t="str">
        <f t="shared" si="19"/>
        <v>Current</v>
      </c>
      <c r="L301" s="3" t="str">
        <f t="shared" si="20"/>
        <v>-</v>
      </c>
      <c r="M301" s="3" t="str">
        <f>[1]PAYMENTS!D19</f>
        <v xml:space="preserve">Paid Online </v>
      </c>
      <c r="N301" s="7" t="str">
        <f>IF(MasterARReport[[#This Row],[Outstanding Amount]]=0, "PAID", "PENDING")</f>
        <v>PAID</v>
      </c>
    </row>
    <row r="302" spans="1:14" x14ac:dyDescent="0.3">
      <c r="A302" s="20">
        <v>301</v>
      </c>
      <c r="B302" s="20" t="s">
        <v>513</v>
      </c>
      <c r="C302" s="21">
        <v>46126</v>
      </c>
      <c r="D302" s="22" t="s">
        <v>582</v>
      </c>
      <c r="E302" s="22" t="s">
        <v>583</v>
      </c>
      <c r="F302" s="23">
        <v>2795</v>
      </c>
      <c r="G302" s="24">
        <v>46126</v>
      </c>
      <c r="H302" s="25">
        <v>0</v>
      </c>
      <c r="I302" s="25">
        <f t="shared" si="17"/>
        <v>2795</v>
      </c>
      <c r="J302" s="22">
        <f t="shared" ca="1" si="18"/>
        <v>47</v>
      </c>
      <c r="K302" s="22" t="str">
        <f t="shared" ca="1" si="19"/>
        <v>31-60 Days</v>
      </c>
      <c r="L302" s="22" t="str">
        <f t="shared" ca="1" si="20"/>
        <v>Low-Medium</v>
      </c>
      <c r="M302" s="22" t="s">
        <v>43</v>
      </c>
      <c r="N302" s="7" t="str">
        <f>IF(MasterARReport[[#This Row],[Outstanding Amount]]=0, "PAID", "PENDING")</f>
        <v>PENDING</v>
      </c>
    </row>
    <row r="303" spans="1:14" x14ac:dyDescent="0.3">
      <c r="A303" s="1">
        <v>302</v>
      </c>
      <c r="B303" s="1" t="s">
        <v>513</v>
      </c>
      <c r="C303" s="2">
        <v>46112</v>
      </c>
      <c r="D303" s="3" t="s">
        <v>584</v>
      </c>
      <c r="E303" s="3" t="s">
        <v>585</v>
      </c>
      <c r="F303" s="4">
        <v>96214</v>
      </c>
      <c r="G303" s="5">
        <v>46137</v>
      </c>
      <c r="H303" s="6">
        <v>0</v>
      </c>
      <c r="I303" s="6">
        <f t="shared" si="17"/>
        <v>96214</v>
      </c>
      <c r="J303" s="3">
        <f t="shared" ca="1" si="18"/>
        <v>36</v>
      </c>
      <c r="K303" s="3" t="str">
        <f t="shared" ca="1" si="19"/>
        <v>31-60 Days</v>
      </c>
      <c r="L303" s="3" t="str">
        <f t="shared" ca="1" si="20"/>
        <v>Low-Medium</v>
      </c>
      <c r="M303" s="3"/>
      <c r="N303" s="7" t="str">
        <f>IF(MasterARReport[[#This Row],[Outstanding Amount]]=0, "PAID", "PENDING")</f>
        <v>PENDING</v>
      </c>
    </row>
    <row r="304" spans="1:14" x14ac:dyDescent="0.3">
      <c r="A304" s="20">
        <v>303</v>
      </c>
      <c r="B304" s="20" t="s">
        <v>513</v>
      </c>
      <c r="C304" s="21">
        <v>46101</v>
      </c>
      <c r="D304" s="22" t="s">
        <v>586</v>
      </c>
      <c r="E304" s="22" t="s">
        <v>587</v>
      </c>
      <c r="F304" s="23">
        <v>3580</v>
      </c>
      <c r="G304" s="24">
        <v>46126</v>
      </c>
      <c r="H304" s="25">
        <f>[1]PAYMENTS!C39</f>
        <v>3580</v>
      </c>
      <c r="I304" s="25">
        <f t="shared" si="17"/>
        <v>0</v>
      </c>
      <c r="J304" s="22">
        <f t="shared" ca="1" si="18"/>
        <v>47</v>
      </c>
      <c r="K304" s="22" t="str">
        <f t="shared" si="19"/>
        <v>Current</v>
      </c>
      <c r="L304" s="22" t="str">
        <f t="shared" si="20"/>
        <v>-</v>
      </c>
      <c r="M304" s="22" t="str">
        <f>[1]PAYMENTS!D39</f>
        <v xml:space="preserve">Paid Online </v>
      </c>
      <c r="N304" s="7" t="str">
        <f>IF(MasterARReport[[#This Row],[Outstanding Amount]]=0, "PAID", "PENDING")</f>
        <v>PAID</v>
      </c>
    </row>
    <row r="305" spans="1:14" x14ac:dyDescent="0.3">
      <c r="A305" s="1">
        <v>304</v>
      </c>
      <c r="B305" s="1" t="s">
        <v>513</v>
      </c>
      <c r="C305" s="2">
        <v>46107</v>
      </c>
      <c r="D305" s="3" t="s">
        <v>588</v>
      </c>
      <c r="E305" s="3" t="s">
        <v>589</v>
      </c>
      <c r="F305" s="4">
        <v>100</v>
      </c>
      <c r="G305" s="5">
        <v>46132</v>
      </c>
      <c r="H305" s="6">
        <v>0</v>
      </c>
      <c r="I305" s="6">
        <f t="shared" si="17"/>
        <v>100</v>
      </c>
      <c r="J305" s="3">
        <f t="shared" ca="1" si="18"/>
        <v>41</v>
      </c>
      <c r="K305" s="3" t="str">
        <f t="shared" ca="1" si="19"/>
        <v>31-60 Days</v>
      </c>
      <c r="L305" s="3" t="str">
        <f t="shared" ca="1" si="20"/>
        <v>Low-Medium</v>
      </c>
      <c r="M305" s="3"/>
      <c r="N305" s="7" t="str">
        <f>IF(MasterARReport[[#This Row],[Outstanding Amount]]=0, "PAID", "PENDING")</f>
        <v>PENDING</v>
      </c>
    </row>
    <row r="306" spans="1:14" x14ac:dyDescent="0.3">
      <c r="A306" s="20">
        <v>305</v>
      </c>
      <c r="B306" s="20" t="s">
        <v>513</v>
      </c>
      <c r="C306" s="21">
        <v>46098</v>
      </c>
      <c r="D306" s="22" t="s">
        <v>590</v>
      </c>
      <c r="E306" s="22" t="s">
        <v>591</v>
      </c>
      <c r="F306" s="23">
        <v>886</v>
      </c>
      <c r="G306" s="24">
        <v>46123</v>
      </c>
      <c r="H306" s="25">
        <v>886</v>
      </c>
      <c r="I306" s="25">
        <f t="shared" si="17"/>
        <v>0</v>
      </c>
      <c r="J306" s="22">
        <f t="shared" ca="1" si="18"/>
        <v>50</v>
      </c>
      <c r="K306" s="22" t="str">
        <f t="shared" si="19"/>
        <v>Current</v>
      </c>
      <c r="L306" s="22" t="str">
        <f t="shared" si="20"/>
        <v>-</v>
      </c>
      <c r="M306" s="22" t="s">
        <v>29</v>
      </c>
      <c r="N306" s="7" t="str">
        <f>IF(MasterARReport[[#This Row],[Outstanding Amount]]=0, "PAID", "PENDING")</f>
        <v>PAID</v>
      </c>
    </row>
    <row r="307" spans="1:14" x14ac:dyDescent="0.3">
      <c r="A307" s="31">
        <v>306</v>
      </c>
      <c r="B307" s="31" t="s">
        <v>513</v>
      </c>
      <c r="C307" s="32">
        <v>46013</v>
      </c>
      <c r="D307" s="33" t="s">
        <v>592</v>
      </c>
      <c r="E307" s="33" t="s">
        <v>593</v>
      </c>
      <c r="F307" s="34">
        <v>2232</v>
      </c>
      <c r="G307" s="35">
        <v>46038</v>
      </c>
      <c r="H307" s="36">
        <v>0</v>
      </c>
      <c r="I307" s="36">
        <f t="shared" si="17"/>
        <v>2232</v>
      </c>
      <c r="J307" s="33">
        <f t="shared" ca="1" si="18"/>
        <v>135</v>
      </c>
      <c r="K307" s="33" t="str">
        <f t="shared" ca="1" si="19"/>
        <v>90+ Days</v>
      </c>
      <c r="L307" s="33" t="str">
        <f t="shared" ca="1" si="20"/>
        <v>HIGH RISK</v>
      </c>
      <c r="M307" s="33"/>
      <c r="N307" s="7" t="str">
        <f>IF(MasterARReport[[#This Row],[Outstanding Amount]]=0, "PAID", "PENDING")</f>
        <v>PENDING</v>
      </c>
    </row>
    <row r="308" spans="1:14" x14ac:dyDescent="0.3">
      <c r="A308" s="26">
        <v>307</v>
      </c>
      <c r="B308" s="26" t="s">
        <v>513</v>
      </c>
      <c r="C308" s="27">
        <v>46129</v>
      </c>
      <c r="D308" s="7" t="s">
        <v>594</v>
      </c>
      <c r="E308" s="7" t="s">
        <v>595</v>
      </c>
      <c r="F308" s="28">
        <v>4988</v>
      </c>
      <c r="G308" s="29">
        <v>46154</v>
      </c>
      <c r="H308" s="30">
        <v>0</v>
      </c>
      <c r="I308" s="30">
        <f t="shared" si="17"/>
        <v>4988</v>
      </c>
      <c r="J308" s="7">
        <f t="shared" ca="1" si="18"/>
        <v>19</v>
      </c>
      <c r="K308" s="7" t="str">
        <f t="shared" ca="1" si="19"/>
        <v>0-30 Days</v>
      </c>
      <c r="L308" s="7" t="str">
        <f t="shared" ca="1" si="20"/>
        <v>Low</v>
      </c>
      <c r="M308" s="7"/>
      <c r="N308" s="7" t="str">
        <f>IF(MasterARReport[[#This Row],[Outstanding Amount]]=0, "PAID", "PENDING")</f>
        <v>PENDING</v>
      </c>
    </row>
    <row r="309" spans="1:14" x14ac:dyDescent="0.3">
      <c r="A309" s="31">
        <v>308</v>
      </c>
      <c r="B309" s="31" t="s">
        <v>513</v>
      </c>
      <c r="C309" s="32">
        <v>46050</v>
      </c>
      <c r="D309" s="33" t="s">
        <v>596</v>
      </c>
      <c r="E309" s="33" t="s">
        <v>597</v>
      </c>
      <c r="F309" s="34">
        <v>6200</v>
      </c>
      <c r="G309" s="35">
        <v>46075</v>
      </c>
      <c r="H309" s="36">
        <v>6200</v>
      </c>
      <c r="I309" s="36">
        <f t="shared" si="17"/>
        <v>0</v>
      </c>
      <c r="J309" s="33">
        <f t="shared" ca="1" si="18"/>
        <v>98</v>
      </c>
      <c r="K309" s="33" t="str">
        <f t="shared" si="19"/>
        <v>Current</v>
      </c>
      <c r="L309" s="33" t="str">
        <f t="shared" si="20"/>
        <v>-</v>
      </c>
      <c r="M309" s="33" t="s">
        <v>29</v>
      </c>
      <c r="N309" s="7" t="str">
        <f>IF(MasterARReport[[#This Row],[Outstanding Amount]]=0, "PAID", "PENDING")</f>
        <v>PAID</v>
      </c>
    </row>
    <row r="310" spans="1:14" x14ac:dyDescent="0.3">
      <c r="A310" s="26">
        <v>309</v>
      </c>
      <c r="B310" s="26" t="s">
        <v>513</v>
      </c>
      <c r="C310" s="27">
        <v>46129</v>
      </c>
      <c r="D310" s="7" t="s">
        <v>598</v>
      </c>
      <c r="E310" s="7" t="s">
        <v>599</v>
      </c>
      <c r="F310" s="28">
        <v>2214</v>
      </c>
      <c r="G310" s="29">
        <v>46154</v>
      </c>
      <c r="H310" s="30">
        <v>0</v>
      </c>
      <c r="I310" s="30">
        <f t="shared" si="17"/>
        <v>2214</v>
      </c>
      <c r="J310" s="7">
        <f t="shared" ca="1" si="18"/>
        <v>19</v>
      </c>
      <c r="K310" s="7" t="str">
        <f t="shared" ca="1" si="19"/>
        <v>0-30 Days</v>
      </c>
      <c r="L310" s="7" t="str">
        <f t="shared" ca="1" si="20"/>
        <v>Low</v>
      </c>
      <c r="M310" s="7"/>
      <c r="N310" s="7" t="str">
        <f>IF(MasterARReport[[#This Row],[Outstanding Amount]]=0, "PAID", "PENDING")</f>
        <v>PENDING</v>
      </c>
    </row>
    <row r="311" spans="1:14" x14ac:dyDescent="0.3">
      <c r="A311" s="1">
        <v>310</v>
      </c>
      <c r="B311" s="1" t="s">
        <v>513</v>
      </c>
      <c r="C311" s="2">
        <v>46099</v>
      </c>
      <c r="D311" s="3" t="s">
        <v>600</v>
      </c>
      <c r="E311" s="3" t="s">
        <v>601</v>
      </c>
      <c r="F311" s="4">
        <v>104942</v>
      </c>
      <c r="G311" s="5">
        <v>46124</v>
      </c>
      <c r="H311" s="6">
        <f>[1]PAYMENTS!C50</f>
        <v>104942</v>
      </c>
      <c r="I311" s="6">
        <f t="shared" si="17"/>
        <v>0</v>
      </c>
      <c r="J311" s="3">
        <f t="shared" ca="1" si="18"/>
        <v>49</v>
      </c>
      <c r="K311" s="3" t="str">
        <f t="shared" si="19"/>
        <v>Current</v>
      </c>
      <c r="L311" s="3" t="str">
        <f t="shared" si="20"/>
        <v>-</v>
      </c>
      <c r="M311" s="3" t="str">
        <f>[1]PAYMENTS!D50</f>
        <v>Paid by Cheque</v>
      </c>
      <c r="N311" s="7" t="str">
        <f>IF(MasterARReport[[#This Row],[Outstanding Amount]]=0, "PAID", "PENDING")</f>
        <v>PAID</v>
      </c>
    </row>
    <row r="312" spans="1:14" x14ac:dyDescent="0.3">
      <c r="A312" s="20">
        <v>311</v>
      </c>
      <c r="B312" s="20" t="s">
        <v>513</v>
      </c>
      <c r="C312" s="21">
        <v>46092</v>
      </c>
      <c r="D312" s="22" t="s">
        <v>602</v>
      </c>
      <c r="E312" s="22" t="s">
        <v>603</v>
      </c>
      <c r="F312" s="23">
        <v>11511</v>
      </c>
      <c r="G312" s="24">
        <v>46117</v>
      </c>
      <c r="H312" s="25">
        <f>[1]PAYMENTS!C18</f>
        <v>11511</v>
      </c>
      <c r="I312" s="25">
        <f t="shared" si="17"/>
        <v>0</v>
      </c>
      <c r="J312" s="22">
        <f t="shared" ca="1" si="18"/>
        <v>56</v>
      </c>
      <c r="K312" s="22" t="str">
        <f t="shared" si="19"/>
        <v>Current</v>
      </c>
      <c r="L312" s="22" t="str">
        <f t="shared" si="20"/>
        <v>-</v>
      </c>
      <c r="M312" s="22" t="str">
        <f>[1]PAYMENTS!D18</f>
        <v xml:space="preserve">Paid Online </v>
      </c>
      <c r="N312" s="7" t="str">
        <f>IF(MasterARReport[[#This Row],[Outstanding Amount]]=0, "PAID", "PENDING")</f>
        <v>PAID</v>
      </c>
    </row>
    <row r="313" spans="1:14" x14ac:dyDescent="0.3">
      <c r="A313" s="56">
        <v>312</v>
      </c>
      <c r="B313" s="56" t="s">
        <v>513</v>
      </c>
      <c r="C313" s="57">
        <v>46153</v>
      </c>
      <c r="D313" s="58" t="s">
        <v>604</v>
      </c>
      <c r="E313" s="58" t="s">
        <v>603</v>
      </c>
      <c r="F313" s="59">
        <v>5201</v>
      </c>
      <c r="G313" s="60">
        <v>46178</v>
      </c>
      <c r="H313" s="61">
        <v>0</v>
      </c>
      <c r="I313" s="61">
        <f t="shared" si="17"/>
        <v>5201</v>
      </c>
      <c r="J313" s="58">
        <f t="shared" ca="1" si="18"/>
        <v>0</v>
      </c>
      <c r="K313" s="58" t="str">
        <f t="shared" ca="1" si="19"/>
        <v>0-30 Days</v>
      </c>
      <c r="L313" s="58" t="str">
        <f t="shared" ca="1" si="20"/>
        <v>Low</v>
      </c>
      <c r="M313" s="58"/>
      <c r="N313" s="7" t="str">
        <f>IF(MasterARReport[[#This Row],[Outstanding Amount]]=0, "PAID", "PENDING")</f>
        <v>PENDING</v>
      </c>
    </row>
    <row r="314" spans="1:14" x14ac:dyDescent="0.3">
      <c r="A314" s="8">
        <v>313</v>
      </c>
      <c r="B314" s="8" t="s">
        <v>513</v>
      </c>
      <c r="C314" s="9">
        <v>46015</v>
      </c>
      <c r="D314" s="10" t="s">
        <v>605</v>
      </c>
      <c r="E314" s="10" t="s">
        <v>606</v>
      </c>
      <c r="F314" s="11">
        <v>6182</v>
      </c>
      <c r="G314" s="12">
        <v>46040</v>
      </c>
      <c r="H314" s="13">
        <v>0</v>
      </c>
      <c r="I314" s="13">
        <f t="shared" si="17"/>
        <v>6182</v>
      </c>
      <c r="J314" s="10">
        <f t="shared" ca="1" si="18"/>
        <v>133</v>
      </c>
      <c r="K314" s="10" t="str">
        <f t="shared" ca="1" si="19"/>
        <v>90+ Days</v>
      </c>
      <c r="L314" s="10" t="str">
        <f t="shared" ca="1" si="20"/>
        <v>HIGH RISK</v>
      </c>
      <c r="M314" s="10"/>
      <c r="N314" s="7" t="str">
        <f>IF(MasterARReport[[#This Row],[Outstanding Amount]]=0, "PAID", "PENDING")</f>
        <v>PENDING</v>
      </c>
    </row>
    <row r="315" spans="1:14" x14ac:dyDescent="0.3">
      <c r="A315" s="37">
        <v>314</v>
      </c>
      <c r="B315" s="37" t="s">
        <v>513</v>
      </c>
      <c r="C315" s="38">
        <v>46121</v>
      </c>
      <c r="D315" s="39" t="s">
        <v>607</v>
      </c>
      <c r="E315" s="39" t="s">
        <v>608</v>
      </c>
      <c r="F315" s="40">
        <v>17710</v>
      </c>
      <c r="G315" s="41">
        <v>46146</v>
      </c>
      <c r="H315" s="42">
        <f>[1]PAYMENTS!C9</f>
        <v>17710</v>
      </c>
      <c r="I315" s="42">
        <f t="shared" si="17"/>
        <v>0</v>
      </c>
      <c r="J315" s="39">
        <f t="shared" ca="1" si="18"/>
        <v>27</v>
      </c>
      <c r="K315" s="39" t="str">
        <f t="shared" si="19"/>
        <v>Current</v>
      </c>
      <c r="L315" s="39" t="str">
        <f t="shared" si="20"/>
        <v>-</v>
      </c>
      <c r="M315" s="39" t="str">
        <f>[1]PAYMENTS!D9</f>
        <v>Paid by Cheque</v>
      </c>
      <c r="N315" s="7" t="str">
        <f>IF(MasterARReport[[#This Row],[Outstanding Amount]]=0, "PAID", "PENDING")</f>
        <v>PAID</v>
      </c>
    </row>
    <row r="316" spans="1:14" x14ac:dyDescent="0.3">
      <c r="A316" s="26">
        <v>315</v>
      </c>
      <c r="B316" s="26" t="s">
        <v>513</v>
      </c>
      <c r="C316" s="27">
        <v>46122</v>
      </c>
      <c r="D316" s="7" t="s">
        <v>609</v>
      </c>
      <c r="E316" s="7" t="s">
        <v>608</v>
      </c>
      <c r="F316" s="28">
        <v>8855</v>
      </c>
      <c r="G316" s="29">
        <v>46147</v>
      </c>
      <c r="H316" s="42">
        <f>[1]PAYMENTS!C10</f>
        <v>8855</v>
      </c>
      <c r="I316" s="30">
        <f t="shared" si="17"/>
        <v>0</v>
      </c>
      <c r="J316" s="7">
        <f t="shared" ca="1" si="18"/>
        <v>26</v>
      </c>
      <c r="K316" s="7" t="str">
        <f t="shared" si="19"/>
        <v>Current</v>
      </c>
      <c r="L316" s="7" t="str">
        <f t="shared" si="20"/>
        <v>-</v>
      </c>
      <c r="M316" s="39" t="str">
        <f>[1]PAYMENTS!D10</f>
        <v>Paid by Cheque</v>
      </c>
      <c r="N316" s="7" t="str">
        <f>IF(MasterARReport[[#This Row],[Outstanding Amount]]=0, "PAID", "PENDING")</f>
        <v>PAID</v>
      </c>
    </row>
    <row r="317" spans="1:14" x14ac:dyDescent="0.3">
      <c r="A317" s="37">
        <v>316</v>
      </c>
      <c r="B317" s="37" t="s">
        <v>513</v>
      </c>
      <c r="C317" s="38">
        <v>46130</v>
      </c>
      <c r="D317" s="39" t="s">
        <v>610</v>
      </c>
      <c r="E317" s="39" t="s">
        <v>608</v>
      </c>
      <c r="F317" s="40">
        <v>5572</v>
      </c>
      <c r="G317" s="41">
        <v>46155</v>
      </c>
      <c r="H317" s="42">
        <f>[1]PAYMENTS!C11</f>
        <v>5572</v>
      </c>
      <c r="I317" s="42">
        <f t="shared" si="17"/>
        <v>0</v>
      </c>
      <c r="J317" s="39">
        <f t="shared" ca="1" si="18"/>
        <v>18</v>
      </c>
      <c r="K317" s="39" t="str">
        <f t="shared" si="19"/>
        <v>Current</v>
      </c>
      <c r="L317" s="39" t="str">
        <f t="shared" si="20"/>
        <v>-</v>
      </c>
      <c r="M317" s="39" t="str">
        <f>[1]PAYMENTS!D11</f>
        <v>Paid by Cheque</v>
      </c>
      <c r="N317" s="7" t="str">
        <f>IF(MasterARReport[[#This Row],[Outstanding Amount]]=0, "PAID", "PENDING")</f>
        <v>PAID</v>
      </c>
    </row>
    <row r="318" spans="1:14" x14ac:dyDescent="0.3">
      <c r="A318" s="26">
        <v>317</v>
      </c>
      <c r="B318" s="26" t="s">
        <v>513</v>
      </c>
      <c r="C318" s="27">
        <v>46142</v>
      </c>
      <c r="D318" s="7" t="s">
        <v>611</v>
      </c>
      <c r="E318" s="7" t="s">
        <v>608</v>
      </c>
      <c r="F318" s="28">
        <v>5144</v>
      </c>
      <c r="G318" s="29">
        <v>46167</v>
      </c>
      <c r="H318" s="42">
        <f>[1]PAYMENTS!C12</f>
        <v>5144</v>
      </c>
      <c r="I318" s="30">
        <f t="shared" si="17"/>
        <v>0</v>
      </c>
      <c r="J318" s="7">
        <f t="shared" ca="1" si="18"/>
        <v>6</v>
      </c>
      <c r="K318" s="7" t="str">
        <f t="shared" si="19"/>
        <v>Current</v>
      </c>
      <c r="L318" s="7" t="str">
        <f t="shared" si="20"/>
        <v>-</v>
      </c>
      <c r="M318" s="39" t="str">
        <f>[1]PAYMENTS!D12</f>
        <v>Paid by Cheque</v>
      </c>
      <c r="N318" s="7" t="str">
        <f>IF(MasterARReport[[#This Row],[Outstanding Amount]]=0, "PAID", "PENDING")</f>
        <v>PAID</v>
      </c>
    </row>
    <row r="319" spans="1:14" x14ac:dyDescent="0.3">
      <c r="A319" s="56">
        <v>318</v>
      </c>
      <c r="B319" s="56" t="s">
        <v>513</v>
      </c>
      <c r="C319" s="57">
        <v>46148</v>
      </c>
      <c r="D319" s="58" t="s">
        <v>612</v>
      </c>
      <c r="E319" s="58" t="s">
        <v>608</v>
      </c>
      <c r="F319" s="59">
        <v>2291</v>
      </c>
      <c r="G319" s="60">
        <v>46173</v>
      </c>
      <c r="H319" s="61">
        <v>0</v>
      </c>
      <c r="I319" s="61">
        <f t="shared" si="17"/>
        <v>2291</v>
      </c>
      <c r="J319" s="58">
        <f t="shared" ca="1" si="18"/>
        <v>0</v>
      </c>
      <c r="K319" s="58" t="str">
        <f t="shared" ca="1" si="19"/>
        <v>0-30 Days</v>
      </c>
      <c r="L319" s="58" t="str">
        <f t="shared" ca="1" si="20"/>
        <v>Low</v>
      </c>
      <c r="M319" s="58"/>
      <c r="N319" s="7" t="str">
        <f>IF(MasterARReport[[#This Row],[Outstanding Amount]]=0, "PAID", "PENDING")</f>
        <v>PENDING</v>
      </c>
    </row>
    <row r="320" spans="1:14" x14ac:dyDescent="0.3">
      <c r="A320" s="56">
        <v>319</v>
      </c>
      <c r="B320" s="56" t="s">
        <v>513</v>
      </c>
      <c r="C320" s="57">
        <v>46150</v>
      </c>
      <c r="D320" s="58" t="s">
        <v>613</v>
      </c>
      <c r="E320" s="58" t="s">
        <v>608</v>
      </c>
      <c r="F320" s="59">
        <v>21163</v>
      </c>
      <c r="G320" s="60">
        <v>46175</v>
      </c>
      <c r="H320" s="61">
        <v>0</v>
      </c>
      <c r="I320" s="61">
        <f t="shared" si="17"/>
        <v>21163</v>
      </c>
      <c r="J320" s="58">
        <f t="shared" ca="1" si="18"/>
        <v>0</v>
      </c>
      <c r="K320" s="58" t="str">
        <f t="shared" ca="1" si="19"/>
        <v>0-30 Days</v>
      </c>
      <c r="L320" s="58" t="str">
        <f t="shared" ca="1" si="20"/>
        <v>Low</v>
      </c>
      <c r="M320" s="58"/>
      <c r="N320" s="7" t="str">
        <f>IF(MasterARReport[[#This Row],[Outstanding Amount]]=0, "PAID", "PENDING")</f>
        <v>PENDING</v>
      </c>
    </row>
    <row r="321" spans="1:14" x14ac:dyDescent="0.3">
      <c r="A321" s="56">
        <v>320</v>
      </c>
      <c r="B321" s="56" t="s">
        <v>513</v>
      </c>
      <c r="C321" s="57">
        <v>46156</v>
      </c>
      <c r="D321" s="58" t="s">
        <v>614</v>
      </c>
      <c r="E321" s="58" t="s">
        <v>608</v>
      </c>
      <c r="F321" s="59">
        <v>7384</v>
      </c>
      <c r="G321" s="60">
        <v>46181</v>
      </c>
      <c r="H321" s="61">
        <v>0</v>
      </c>
      <c r="I321" s="61">
        <f t="shared" si="17"/>
        <v>7384</v>
      </c>
      <c r="J321" s="58">
        <f t="shared" ca="1" si="18"/>
        <v>0</v>
      </c>
      <c r="K321" s="58" t="str">
        <f t="shared" ca="1" si="19"/>
        <v>0-30 Days</v>
      </c>
      <c r="L321" s="58" t="str">
        <f t="shared" ca="1" si="20"/>
        <v>Low</v>
      </c>
      <c r="M321" s="58"/>
      <c r="N321" s="7" t="str">
        <f>IF(MasterARReport[[#This Row],[Outstanding Amount]]=0, "PAID", "PENDING")</f>
        <v>PENDING</v>
      </c>
    </row>
    <row r="322" spans="1:14" x14ac:dyDescent="0.3">
      <c r="A322" s="26">
        <v>321</v>
      </c>
      <c r="B322" s="26" t="s">
        <v>513</v>
      </c>
      <c r="C322" s="27">
        <v>46115</v>
      </c>
      <c r="D322" s="7" t="s">
        <v>615</v>
      </c>
      <c r="E322" s="7" t="s">
        <v>616</v>
      </c>
      <c r="F322" s="28">
        <v>22</v>
      </c>
      <c r="G322" s="29">
        <v>46140</v>
      </c>
      <c r="H322" s="30">
        <v>0</v>
      </c>
      <c r="I322" s="30">
        <f t="shared" ref="I322:I385" si="21">MAX(0,F322-H322)</f>
        <v>22</v>
      </c>
      <c r="J322" s="7">
        <f t="shared" ref="J322:J385" ca="1" si="22">IF(G322="",0,MAX(0,TODAY()-G322))</f>
        <v>33</v>
      </c>
      <c r="K322" s="7" t="str">
        <f t="shared" ref="K322:K385" ca="1" si="23">IF(I322&lt;=0,"Current",IF(J322&lt;=30,"0-30 Days",IF(J322&lt;=60,"31-60 Days",IF(J322&lt;=90,"61-90 Days","90+ Days"))))</f>
        <v>31-60 Days</v>
      </c>
      <c r="L322" s="7" t="str">
        <f t="shared" ref="L322:L339" ca="1" si="24">IF(I322&lt;=0,"-",IF(J322&lt;=30,"Low",IF(J322&lt;=60,"Low-Medium",IF(J322&lt;=90,"Medium","HIGH RISK"))))</f>
        <v>Low-Medium</v>
      </c>
      <c r="M322" s="7"/>
      <c r="N322" s="7" t="str">
        <f>IF(MasterARReport[[#This Row],[Outstanding Amount]]=0, "PAID", "PENDING")</f>
        <v>PENDING</v>
      </c>
    </row>
    <row r="323" spans="1:14" x14ac:dyDescent="0.3">
      <c r="A323" s="37">
        <v>322</v>
      </c>
      <c r="B323" s="37" t="s">
        <v>513</v>
      </c>
      <c r="C323" s="38">
        <v>46125</v>
      </c>
      <c r="D323" s="39" t="s">
        <v>617</v>
      </c>
      <c r="E323" s="39" t="s">
        <v>616</v>
      </c>
      <c r="F323" s="40">
        <v>16</v>
      </c>
      <c r="G323" s="41">
        <v>46150</v>
      </c>
      <c r="H323" s="42">
        <v>0</v>
      </c>
      <c r="I323" s="42">
        <f t="shared" si="21"/>
        <v>16</v>
      </c>
      <c r="J323" s="39">
        <f t="shared" ca="1" si="22"/>
        <v>23</v>
      </c>
      <c r="K323" s="39" t="str">
        <f t="shared" ca="1" si="23"/>
        <v>0-30 Days</v>
      </c>
      <c r="L323" s="39" t="str">
        <f t="shared" ca="1" si="24"/>
        <v>Low</v>
      </c>
      <c r="M323" s="39"/>
      <c r="N323" s="7" t="str">
        <f>IF(MasterARReport[[#This Row],[Outstanding Amount]]=0, "PAID", "PENDING")</f>
        <v>PENDING</v>
      </c>
    </row>
    <row r="324" spans="1:14" x14ac:dyDescent="0.3">
      <c r="A324" s="56">
        <v>323</v>
      </c>
      <c r="B324" s="56" t="s">
        <v>513</v>
      </c>
      <c r="C324" s="57">
        <v>46146</v>
      </c>
      <c r="D324" s="58" t="s">
        <v>618</v>
      </c>
      <c r="E324" s="58" t="s">
        <v>616</v>
      </c>
      <c r="F324" s="59">
        <v>3660</v>
      </c>
      <c r="G324" s="60">
        <v>46171</v>
      </c>
      <c r="H324" s="61">
        <v>0</v>
      </c>
      <c r="I324" s="61">
        <f t="shared" si="21"/>
        <v>3660</v>
      </c>
      <c r="J324" s="58">
        <f t="shared" ca="1" si="22"/>
        <v>2</v>
      </c>
      <c r="K324" s="58" t="str">
        <f t="shared" ca="1" si="23"/>
        <v>0-30 Days</v>
      </c>
      <c r="L324" s="58" t="str">
        <f t="shared" ca="1" si="24"/>
        <v>Low</v>
      </c>
      <c r="M324" s="58"/>
      <c r="N324" s="7" t="str">
        <f>IF(MasterARReport[[#This Row],[Outstanding Amount]]=0, "PAID", "PENDING")</f>
        <v>PENDING</v>
      </c>
    </row>
    <row r="325" spans="1:14" x14ac:dyDescent="0.3">
      <c r="A325" s="1">
        <v>324</v>
      </c>
      <c r="B325" s="1" t="s">
        <v>513</v>
      </c>
      <c r="C325" s="2">
        <v>46111</v>
      </c>
      <c r="D325" s="3" t="s">
        <v>619</v>
      </c>
      <c r="E325" s="3" t="s">
        <v>620</v>
      </c>
      <c r="F325" s="4">
        <v>1655</v>
      </c>
      <c r="G325" s="5">
        <v>46136</v>
      </c>
      <c r="H325" s="6">
        <v>1655</v>
      </c>
      <c r="I325" s="6">
        <f t="shared" si="21"/>
        <v>0</v>
      </c>
      <c r="J325" s="3">
        <f t="shared" ca="1" si="22"/>
        <v>37</v>
      </c>
      <c r="K325" s="3" t="str">
        <f t="shared" si="23"/>
        <v>Current</v>
      </c>
      <c r="L325" s="3" t="str">
        <f t="shared" si="24"/>
        <v>-</v>
      </c>
      <c r="M325" s="3" t="s">
        <v>29</v>
      </c>
      <c r="N325" s="7" t="str">
        <f>IF(MasterARReport[[#This Row],[Outstanding Amount]]=0, "PAID", "PENDING")</f>
        <v>PAID</v>
      </c>
    </row>
    <row r="326" spans="1:14" x14ac:dyDescent="0.3">
      <c r="A326" s="26">
        <v>325</v>
      </c>
      <c r="B326" s="26" t="s">
        <v>513</v>
      </c>
      <c r="C326" s="27">
        <v>46121</v>
      </c>
      <c r="D326" s="7" t="s">
        <v>621</v>
      </c>
      <c r="E326" s="7" t="s">
        <v>620</v>
      </c>
      <c r="F326" s="28">
        <v>251</v>
      </c>
      <c r="G326" s="29">
        <v>46146</v>
      </c>
      <c r="H326" s="30">
        <v>0</v>
      </c>
      <c r="I326" s="30">
        <f t="shared" si="21"/>
        <v>251</v>
      </c>
      <c r="J326" s="7">
        <f t="shared" ca="1" si="22"/>
        <v>27</v>
      </c>
      <c r="K326" s="7" t="str">
        <f t="shared" ca="1" si="23"/>
        <v>0-30 Days</v>
      </c>
      <c r="L326" s="7" t="str">
        <f t="shared" ca="1" si="24"/>
        <v>Low</v>
      </c>
      <c r="M326" s="7"/>
      <c r="N326" s="7" t="str">
        <f>IF(MasterARReport[[#This Row],[Outstanding Amount]]=0, "PAID", "PENDING")</f>
        <v>PENDING</v>
      </c>
    </row>
    <row r="327" spans="1:14" x14ac:dyDescent="0.3">
      <c r="A327" s="37">
        <v>326</v>
      </c>
      <c r="B327" s="37" t="s">
        <v>513</v>
      </c>
      <c r="C327" s="38" t="s">
        <v>485</v>
      </c>
      <c r="D327" s="39" t="s">
        <v>622</v>
      </c>
      <c r="E327" s="39" t="s">
        <v>623</v>
      </c>
      <c r="F327" s="40">
        <v>2614</v>
      </c>
      <c r="G327" s="41" t="s">
        <v>487</v>
      </c>
      <c r="H327" s="42">
        <v>0</v>
      </c>
      <c r="I327" s="42">
        <f t="shared" si="21"/>
        <v>2614</v>
      </c>
      <c r="J327" s="39">
        <f t="shared" ca="1" si="22"/>
        <v>0</v>
      </c>
      <c r="K327" s="39" t="str">
        <f t="shared" ca="1" si="23"/>
        <v>0-30 Days</v>
      </c>
      <c r="L327" s="39" t="str">
        <f t="shared" ca="1" si="24"/>
        <v>Low</v>
      </c>
      <c r="M327" s="39"/>
      <c r="N327" s="7" t="str">
        <f>IF(MasterARReport[[#This Row],[Outstanding Amount]]=0, "PAID", "PENDING")</f>
        <v>PENDING</v>
      </c>
    </row>
    <row r="328" spans="1:14" x14ac:dyDescent="0.3">
      <c r="A328" s="26">
        <v>327</v>
      </c>
      <c r="B328" s="26" t="s">
        <v>513</v>
      </c>
      <c r="C328" s="27" t="s">
        <v>485</v>
      </c>
      <c r="D328" s="7" t="s">
        <v>624</v>
      </c>
      <c r="E328" s="7" t="s">
        <v>625</v>
      </c>
      <c r="F328" s="28">
        <v>1328</v>
      </c>
      <c r="G328" s="29" t="s">
        <v>487</v>
      </c>
      <c r="H328" s="30">
        <v>0</v>
      </c>
      <c r="I328" s="30">
        <f t="shared" si="21"/>
        <v>1328</v>
      </c>
      <c r="J328" s="7">
        <f t="shared" ca="1" si="22"/>
        <v>0</v>
      </c>
      <c r="K328" s="7" t="str">
        <f t="shared" ca="1" si="23"/>
        <v>0-30 Days</v>
      </c>
      <c r="L328" s="7" t="str">
        <f t="shared" ca="1" si="24"/>
        <v>Low</v>
      </c>
      <c r="M328" s="7"/>
      <c r="N328" s="7" t="str">
        <f>IF(MasterARReport[[#This Row],[Outstanding Amount]]=0, "PAID", "PENDING")</f>
        <v>PENDING</v>
      </c>
    </row>
    <row r="329" spans="1:14" x14ac:dyDescent="0.3">
      <c r="A329" s="37">
        <v>328</v>
      </c>
      <c r="B329" s="37" t="s">
        <v>513</v>
      </c>
      <c r="C329" s="38" t="s">
        <v>174</v>
      </c>
      <c r="D329" s="39" t="s">
        <v>626</v>
      </c>
      <c r="E329" s="39" t="s">
        <v>627</v>
      </c>
      <c r="F329" s="40">
        <v>4243</v>
      </c>
      <c r="G329" s="41" t="s">
        <v>177</v>
      </c>
      <c r="H329" s="42">
        <v>0</v>
      </c>
      <c r="I329" s="42">
        <f t="shared" si="21"/>
        <v>4243</v>
      </c>
      <c r="J329" s="39">
        <f t="shared" ca="1" si="22"/>
        <v>0</v>
      </c>
      <c r="K329" s="39" t="str">
        <f t="shared" ca="1" si="23"/>
        <v>0-30 Days</v>
      </c>
      <c r="L329" s="39" t="str">
        <f t="shared" ca="1" si="24"/>
        <v>Low</v>
      </c>
      <c r="M329" s="39"/>
      <c r="N329" s="7" t="str">
        <f>IF(MasterARReport[[#This Row],[Outstanding Amount]]=0, "PAID", "PENDING")</f>
        <v>PENDING</v>
      </c>
    </row>
    <row r="330" spans="1:14" x14ac:dyDescent="0.3">
      <c r="A330" s="26">
        <v>329</v>
      </c>
      <c r="B330" s="26" t="s">
        <v>513</v>
      </c>
      <c r="C330" s="27" t="s">
        <v>485</v>
      </c>
      <c r="D330" s="7" t="s">
        <v>628</v>
      </c>
      <c r="E330" s="7" t="s">
        <v>629</v>
      </c>
      <c r="F330" s="28">
        <v>1328</v>
      </c>
      <c r="G330" s="29" t="s">
        <v>487</v>
      </c>
      <c r="H330" s="30">
        <f>[1]PAYMENTS!C47</f>
        <v>1328</v>
      </c>
      <c r="I330" s="30">
        <f t="shared" si="21"/>
        <v>0</v>
      </c>
      <c r="J330" s="7">
        <f t="shared" ca="1" si="22"/>
        <v>0</v>
      </c>
      <c r="K330" s="7" t="str">
        <f t="shared" si="23"/>
        <v>Current</v>
      </c>
      <c r="L330" s="7" t="str">
        <f t="shared" si="24"/>
        <v>-</v>
      </c>
      <c r="M330" s="7" t="str">
        <f>[1]PAYMENTS!D47</f>
        <v xml:space="preserve">Paid Online </v>
      </c>
      <c r="N330" s="7" t="str">
        <f>IF(MasterARReport[[#This Row],[Outstanding Amount]]=0, "PAID", "PENDING")</f>
        <v>PAID</v>
      </c>
    </row>
    <row r="331" spans="1:14" x14ac:dyDescent="0.3">
      <c r="A331" s="37">
        <v>330</v>
      </c>
      <c r="B331" s="37" t="s">
        <v>513</v>
      </c>
      <c r="C331" s="38" t="s">
        <v>162</v>
      </c>
      <c r="D331" s="39" t="s">
        <v>630</v>
      </c>
      <c r="E331" s="39" t="s">
        <v>631</v>
      </c>
      <c r="F331" s="40">
        <v>2472</v>
      </c>
      <c r="G331" s="41" t="s">
        <v>165</v>
      </c>
      <c r="H331" s="42">
        <v>0</v>
      </c>
      <c r="I331" s="42">
        <f t="shared" si="21"/>
        <v>2472</v>
      </c>
      <c r="J331" s="39">
        <f t="shared" ca="1" si="22"/>
        <v>0</v>
      </c>
      <c r="K331" s="39" t="str">
        <f t="shared" ca="1" si="23"/>
        <v>0-30 Days</v>
      </c>
      <c r="L331" s="39" t="str">
        <f t="shared" ca="1" si="24"/>
        <v>Low</v>
      </c>
      <c r="M331" s="39"/>
      <c r="N331" s="7" t="str">
        <f>IF(MasterARReport[[#This Row],[Outstanding Amount]]=0, "PAID", "PENDING")</f>
        <v>PENDING</v>
      </c>
    </row>
    <row r="332" spans="1:14" x14ac:dyDescent="0.3">
      <c r="A332" s="26">
        <v>331</v>
      </c>
      <c r="B332" s="26" t="s">
        <v>513</v>
      </c>
      <c r="C332" s="27" t="s">
        <v>503</v>
      </c>
      <c r="D332" s="7" t="s">
        <v>632</v>
      </c>
      <c r="E332" s="7" t="s">
        <v>633</v>
      </c>
      <c r="F332" s="28">
        <v>1143</v>
      </c>
      <c r="G332" s="29" t="s">
        <v>506</v>
      </c>
      <c r="H332" s="30">
        <v>0</v>
      </c>
      <c r="I332" s="30">
        <f t="shared" si="21"/>
        <v>1143</v>
      </c>
      <c r="J332" s="7">
        <f t="shared" ca="1" si="22"/>
        <v>0</v>
      </c>
      <c r="K332" s="7" t="str">
        <f t="shared" ca="1" si="23"/>
        <v>0-30 Days</v>
      </c>
      <c r="L332" s="7" t="str">
        <f t="shared" ca="1" si="24"/>
        <v>Low</v>
      </c>
      <c r="M332" s="7"/>
      <c r="N332" s="7" t="str">
        <f>IF(MasterARReport[[#This Row],[Outstanding Amount]]=0, "PAID", "PENDING")</f>
        <v>PENDING</v>
      </c>
    </row>
    <row r="333" spans="1:14" x14ac:dyDescent="0.3">
      <c r="A333" s="37">
        <v>332</v>
      </c>
      <c r="B333" s="37" t="s">
        <v>513</v>
      </c>
      <c r="C333" s="38" t="s">
        <v>320</v>
      </c>
      <c r="D333" s="39" t="s">
        <v>634</v>
      </c>
      <c r="E333" s="39" t="s">
        <v>635</v>
      </c>
      <c r="F333" s="40">
        <v>1648</v>
      </c>
      <c r="G333" s="41" t="s">
        <v>636</v>
      </c>
      <c r="H333" s="42">
        <v>0</v>
      </c>
      <c r="I333" s="42">
        <f t="shared" si="21"/>
        <v>1648</v>
      </c>
      <c r="J333" s="39">
        <f t="shared" ca="1" si="22"/>
        <v>0</v>
      </c>
      <c r="K333" s="39" t="str">
        <f t="shared" ca="1" si="23"/>
        <v>0-30 Days</v>
      </c>
      <c r="L333" s="39" t="str">
        <f t="shared" ca="1" si="24"/>
        <v>Low</v>
      </c>
      <c r="M333" s="39"/>
      <c r="N333" s="7" t="str">
        <f>IF(MasterARReport[[#This Row],[Outstanding Amount]]=0, "PAID", "PENDING")</f>
        <v>PENDING</v>
      </c>
    </row>
    <row r="334" spans="1:14" x14ac:dyDescent="0.3">
      <c r="A334" s="26">
        <v>333</v>
      </c>
      <c r="B334" s="26" t="s">
        <v>513</v>
      </c>
      <c r="C334" s="27" t="s">
        <v>344</v>
      </c>
      <c r="D334" s="7" t="s">
        <v>637</v>
      </c>
      <c r="E334" s="7" t="s">
        <v>638</v>
      </c>
      <c r="F334" s="28">
        <v>8239</v>
      </c>
      <c r="G334" s="29" t="s">
        <v>639</v>
      </c>
      <c r="H334" s="30">
        <v>0</v>
      </c>
      <c r="I334" s="30">
        <f t="shared" si="21"/>
        <v>8239</v>
      </c>
      <c r="J334" s="7">
        <f t="shared" ca="1" si="22"/>
        <v>0</v>
      </c>
      <c r="K334" s="7" t="str">
        <f t="shared" ca="1" si="23"/>
        <v>0-30 Days</v>
      </c>
      <c r="L334" s="7" t="str">
        <f t="shared" ca="1" si="24"/>
        <v>Low</v>
      </c>
      <c r="M334" s="7"/>
      <c r="N334" s="7" t="str">
        <f>IF(MasterARReport[[#This Row],[Outstanding Amount]]=0, "PAID", "PENDING")</f>
        <v>PENDING</v>
      </c>
    </row>
    <row r="335" spans="1:14" x14ac:dyDescent="0.3">
      <c r="A335" s="37">
        <v>334</v>
      </c>
      <c r="B335" s="37" t="s">
        <v>513</v>
      </c>
      <c r="C335" s="38" t="s">
        <v>162</v>
      </c>
      <c r="D335" s="39" t="s">
        <v>640</v>
      </c>
      <c r="E335" s="39" t="s">
        <v>641</v>
      </c>
      <c r="F335" s="40">
        <v>-70</v>
      </c>
      <c r="G335" s="41" t="s">
        <v>165</v>
      </c>
      <c r="H335" s="42">
        <v>0</v>
      </c>
      <c r="I335" s="42">
        <f t="shared" si="21"/>
        <v>0</v>
      </c>
      <c r="J335" s="39">
        <f t="shared" ca="1" si="22"/>
        <v>0</v>
      </c>
      <c r="K335" s="39" t="str">
        <f t="shared" si="23"/>
        <v>Current</v>
      </c>
      <c r="L335" s="39" t="str">
        <f t="shared" si="24"/>
        <v>-</v>
      </c>
      <c r="M335" s="39"/>
      <c r="N335" s="7" t="str">
        <f>IF(MasterARReport[[#This Row],[Outstanding Amount]]=0, "PAID", "PENDING")</f>
        <v>PAID</v>
      </c>
    </row>
    <row r="336" spans="1:14" x14ac:dyDescent="0.3">
      <c r="A336" s="26">
        <v>335</v>
      </c>
      <c r="B336" s="26" t="s">
        <v>513</v>
      </c>
      <c r="C336" s="27" t="s">
        <v>501</v>
      </c>
      <c r="D336" s="7" t="s">
        <v>642</v>
      </c>
      <c r="E336" s="7" t="s">
        <v>643</v>
      </c>
      <c r="F336" s="28">
        <v>2187</v>
      </c>
      <c r="G336" s="29" t="s">
        <v>331</v>
      </c>
      <c r="H336" s="30">
        <v>0</v>
      </c>
      <c r="I336" s="30">
        <f t="shared" si="21"/>
        <v>2187</v>
      </c>
      <c r="J336" s="7">
        <f t="shared" ca="1" si="22"/>
        <v>0</v>
      </c>
      <c r="K336" s="7" t="str">
        <f t="shared" ca="1" si="23"/>
        <v>0-30 Days</v>
      </c>
      <c r="L336" s="7" t="str">
        <f t="shared" ca="1" si="24"/>
        <v>Low</v>
      </c>
      <c r="M336" s="7"/>
      <c r="N336" s="7" t="str">
        <f>IF(MasterARReport[[#This Row],[Outstanding Amount]]=0, "PAID", "PENDING")</f>
        <v>PENDING</v>
      </c>
    </row>
    <row r="337" spans="1:14" x14ac:dyDescent="0.3">
      <c r="A337" s="37">
        <v>336</v>
      </c>
      <c r="B337" s="37" t="s">
        <v>513</v>
      </c>
      <c r="C337" s="38" t="s">
        <v>162</v>
      </c>
      <c r="D337" s="39" t="s">
        <v>644</v>
      </c>
      <c r="E337" s="39" t="s">
        <v>645</v>
      </c>
      <c r="F337" s="40">
        <v>2414</v>
      </c>
      <c r="G337" s="41" t="s">
        <v>165</v>
      </c>
      <c r="H337" s="42">
        <f>[1]PAYMENTS!C29</f>
        <v>2414</v>
      </c>
      <c r="I337" s="42">
        <f t="shared" si="21"/>
        <v>0</v>
      </c>
      <c r="J337" s="39">
        <f t="shared" ca="1" si="22"/>
        <v>0</v>
      </c>
      <c r="K337" s="39" t="str">
        <f t="shared" si="23"/>
        <v>Current</v>
      </c>
      <c r="L337" s="39" t="str">
        <f t="shared" si="24"/>
        <v>-</v>
      </c>
      <c r="M337" s="39" t="str">
        <f>[1]PAYMENTS!D29</f>
        <v xml:space="preserve">Paid Online </v>
      </c>
      <c r="N337" s="7" t="str">
        <f>IF(MasterARReport[[#This Row],[Outstanding Amount]]=0, "PAID", "PENDING")</f>
        <v>PAID</v>
      </c>
    </row>
    <row r="338" spans="1:14" x14ac:dyDescent="0.3">
      <c r="A338" s="26">
        <v>337</v>
      </c>
      <c r="B338" s="26" t="s">
        <v>513</v>
      </c>
      <c r="C338" s="27" t="s">
        <v>503</v>
      </c>
      <c r="D338" s="7" t="s">
        <v>646</v>
      </c>
      <c r="E338" s="7" t="s">
        <v>647</v>
      </c>
      <c r="F338" s="28">
        <v>916</v>
      </c>
      <c r="G338" s="29" t="s">
        <v>506</v>
      </c>
      <c r="H338" s="30">
        <v>0</v>
      </c>
      <c r="I338" s="30">
        <f t="shared" si="21"/>
        <v>916</v>
      </c>
      <c r="J338" s="7">
        <f t="shared" ca="1" si="22"/>
        <v>0</v>
      </c>
      <c r="K338" s="7" t="str">
        <f t="shared" ca="1" si="23"/>
        <v>0-30 Days</v>
      </c>
      <c r="L338" s="7" t="str">
        <f t="shared" ca="1" si="24"/>
        <v>Low</v>
      </c>
      <c r="M338" s="7"/>
      <c r="N338" s="7" t="str">
        <f>IF(MasterARReport[[#This Row],[Outstanding Amount]]=0, "PAID", "PENDING")</f>
        <v>PENDING</v>
      </c>
    </row>
    <row r="339" spans="1:14" x14ac:dyDescent="0.3">
      <c r="A339" s="37">
        <v>338</v>
      </c>
      <c r="B339" s="37" t="s">
        <v>513</v>
      </c>
      <c r="C339" s="38" t="s">
        <v>344</v>
      </c>
      <c r="D339" s="39" t="s">
        <v>648</v>
      </c>
      <c r="E339" s="39" t="s">
        <v>647</v>
      </c>
      <c r="F339" s="40">
        <v>886</v>
      </c>
      <c r="G339" s="41" t="s">
        <v>639</v>
      </c>
      <c r="H339" s="42">
        <v>0</v>
      </c>
      <c r="I339" s="42">
        <f t="shared" si="21"/>
        <v>886</v>
      </c>
      <c r="J339" s="39">
        <f t="shared" ca="1" si="22"/>
        <v>0</v>
      </c>
      <c r="K339" s="39" t="str">
        <f t="shared" ca="1" si="23"/>
        <v>0-30 Days</v>
      </c>
      <c r="L339" s="39" t="str">
        <f t="shared" ca="1" si="24"/>
        <v>Low</v>
      </c>
      <c r="M339" s="39"/>
      <c r="N339" s="7" t="str">
        <f>IF(MasterARReport[[#This Row],[Outstanding Amount]]=0, "PAID", "PENDING")</f>
        <v>PENDING</v>
      </c>
    </row>
    <row r="340" spans="1:14" x14ac:dyDescent="0.3">
      <c r="A340" s="26">
        <v>339</v>
      </c>
      <c r="B340" s="26" t="s">
        <v>513</v>
      </c>
      <c r="C340" s="27" t="s">
        <v>649</v>
      </c>
      <c r="D340" s="7" t="s">
        <v>650</v>
      </c>
      <c r="E340" s="7" t="s">
        <v>651</v>
      </c>
      <c r="F340" s="28">
        <v>1459</v>
      </c>
      <c r="G340" s="29" t="s">
        <v>652</v>
      </c>
      <c r="H340" s="30">
        <f>[1]PAYMENTS!C46</f>
        <v>1459</v>
      </c>
      <c r="I340" s="30">
        <f t="shared" si="21"/>
        <v>0</v>
      </c>
      <c r="J340" s="7">
        <f t="shared" ca="1" si="22"/>
        <v>0</v>
      </c>
      <c r="K340" s="7" t="str">
        <f t="shared" si="23"/>
        <v>Current</v>
      </c>
      <c r="L340" s="55"/>
      <c r="M340" s="7" t="str">
        <f>[1]PAYMENTS!D46</f>
        <v xml:space="preserve">Paid Online </v>
      </c>
      <c r="N340" s="7" t="str">
        <f>IF(MasterARReport[[#This Row],[Outstanding Amount]]=0, "PAID", "PENDING")</f>
        <v>PAID</v>
      </c>
    </row>
    <row r="341" spans="1:14" x14ac:dyDescent="0.3">
      <c r="A341" s="37">
        <v>340</v>
      </c>
      <c r="B341" s="37" t="s">
        <v>513</v>
      </c>
      <c r="C341" s="38" t="s">
        <v>162</v>
      </c>
      <c r="D341" s="39" t="s">
        <v>653</v>
      </c>
      <c r="E341" s="39" t="s">
        <v>651</v>
      </c>
      <c r="F341" s="40">
        <v>1652</v>
      </c>
      <c r="G341" s="41" t="s">
        <v>165</v>
      </c>
      <c r="H341" s="42">
        <v>0</v>
      </c>
      <c r="I341" s="42">
        <f t="shared" si="21"/>
        <v>1652</v>
      </c>
      <c r="J341" s="39">
        <f t="shared" ca="1" si="22"/>
        <v>0</v>
      </c>
      <c r="K341" s="39" t="str">
        <f t="shared" ca="1" si="23"/>
        <v>0-30 Days</v>
      </c>
      <c r="L341" s="39" t="str">
        <f t="shared" ref="L341:L404" ca="1" si="25">IF(I341&lt;=0,"-",IF(J341&lt;=30,"Low",IF(J341&lt;=60,"Low-Medium",IF(J341&lt;=90,"Medium","HIGH RISK"))))</f>
        <v>Low</v>
      </c>
      <c r="M341" s="39"/>
      <c r="N341" s="7" t="str">
        <f>IF(MasterARReport[[#This Row],[Outstanding Amount]]=0, "PAID", "PENDING")</f>
        <v>PENDING</v>
      </c>
    </row>
    <row r="342" spans="1:14" x14ac:dyDescent="0.3">
      <c r="A342" s="26">
        <v>341</v>
      </c>
      <c r="B342" s="26" t="s">
        <v>513</v>
      </c>
      <c r="C342" s="27" t="s">
        <v>501</v>
      </c>
      <c r="D342" s="7" t="s">
        <v>654</v>
      </c>
      <c r="E342" s="7" t="s">
        <v>655</v>
      </c>
      <c r="F342" s="28">
        <v>-8</v>
      </c>
      <c r="G342" s="29" t="s">
        <v>331</v>
      </c>
      <c r="H342" s="30">
        <v>0</v>
      </c>
      <c r="I342" s="30">
        <f t="shared" si="21"/>
        <v>0</v>
      </c>
      <c r="J342" s="7">
        <f t="shared" ca="1" si="22"/>
        <v>0</v>
      </c>
      <c r="K342" s="7" t="str">
        <f t="shared" si="23"/>
        <v>Current</v>
      </c>
      <c r="L342" s="7" t="str">
        <f t="shared" si="25"/>
        <v>-</v>
      </c>
      <c r="M342" s="7"/>
      <c r="N342" s="7" t="str">
        <f>IF(MasterARReport[[#This Row],[Outstanding Amount]]=0, "PAID", "PENDING")</f>
        <v>PAID</v>
      </c>
    </row>
    <row r="343" spans="1:14" x14ac:dyDescent="0.3">
      <c r="A343" s="37">
        <v>342</v>
      </c>
      <c r="B343" s="37" t="s">
        <v>513</v>
      </c>
      <c r="C343" s="38" t="s">
        <v>485</v>
      </c>
      <c r="D343" s="39" t="s">
        <v>656</v>
      </c>
      <c r="E343" s="39" t="s">
        <v>657</v>
      </c>
      <c r="F343" s="40">
        <v>1663</v>
      </c>
      <c r="G343" s="41" t="s">
        <v>487</v>
      </c>
      <c r="H343" s="42">
        <v>0</v>
      </c>
      <c r="I343" s="42">
        <f t="shared" si="21"/>
        <v>1663</v>
      </c>
      <c r="J343" s="39">
        <f t="shared" ca="1" si="22"/>
        <v>0</v>
      </c>
      <c r="K343" s="39" t="str">
        <f t="shared" ca="1" si="23"/>
        <v>0-30 Days</v>
      </c>
      <c r="L343" s="39" t="str">
        <f t="shared" ca="1" si="25"/>
        <v>Low</v>
      </c>
      <c r="M343" s="39"/>
      <c r="N343" s="7" t="str">
        <f>IF(MasterARReport[[#This Row],[Outstanding Amount]]=0, "PAID", "PENDING")</f>
        <v>PENDING</v>
      </c>
    </row>
    <row r="344" spans="1:14" x14ac:dyDescent="0.3">
      <c r="A344" s="26">
        <v>343</v>
      </c>
      <c r="B344" s="26" t="s">
        <v>513</v>
      </c>
      <c r="C344" s="27" t="s">
        <v>344</v>
      </c>
      <c r="D344" s="7" t="s">
        <v>658</v>
      </c>
      <c r="E344" s="7" t="s">
        <v>659</v>
      </c>
      <c r="F344" s="28">
        <v>5871</v>
      </c>
      <c r="G344" s="29" t="s">
        <v>639</v>
      </c>
      <c r="H344" s="30">
        <v>0</v>
      </c>
      <c r="I344" s="30">
        <f t="shared" si="21"/>
        <v>5871</v>
      </c>
      <c r="J344" s="7">
        <f t="shared" ca="1" si="22"/>
        <v>0</v>
      </c>
      <c r="K344" s="7" t="str">
        <f t="shared" ca="1" si="23"/>
        <v>0-30 Days</v>
      </c>
      <c r="L344" s="7" t="str">
        <f t="shared" ca="1" si="25"/>
        <v>Low</v>
      </c>
      <c r="M344" s="7"/>
      <c r="N344" s="7" t="str">
        <f>IF(MasterARReport[[#This Row],[Outstanding Amount]]=0, "PAID", "PENDING")</f>
        <v>PENDING</v>
      </c>
    </row>
    <row r="345" spans="1:14" x14ac:dyDescent="0.3">
      <c r="A345" s="37">
        <v>344</v>
      </c>
      <c r="B345" s="37" t="s">
        <v>513</v>
      </c>
      <c r="C345" s="38" t="s">
        <v>178</v>
      </c>
      <c r="D345" s="39" t="s">
        <v>660</v>
      </c>
      <c r="E345" s="39" t="s">
        <v>661</v>
      </c>
      <c r="F345" s="40">
        <v>3426</v>
      </c>
      <c r="G345" s="41" t="s">
        <v>180</v>
      </c>
      <c r="H345" s="42">
        <v>0</v>
      </c>
      <c r="I345" s="42">
        <f t="shared" si="21"/>
        <v>3426</v>
      </c>
      <c r="J345" s="39">
        <f t="shared" ca="1" si="22"/>
        <v>0</v>
      </c>
      <c r="K345" s="39" t="str">
        <f t="shared" ca="1" si="23"/>
        <v>0-30 Days</v>
      </c>
      <c r="L345" s="39" t="str">
        <f t="shared" ca="1" si="25"/>
        <v>Low</v>
      </c>
      <c r="M345" s="39"/>
      <c r="N345" s="7" t="str">
        <f>IF(MasterARReport[[#This Row],[Outstanding Amount]]=0, "PAID", "PENDING")</f>
        <v>PENDING</v>
      </c>
    </row>
    <row r="346" spans="1:14" x14ac:dyDescent="0.3">
      <c r="A346" s="26">
        <v>345</v>
      </c>
      <c r="B346" s="26" t="s">
        <v>513</v>
      </c>
      <c r="C346" s="27" t="s">
        <v>501</v>
      </c>
      <c r="D346" s="7" t="s">
        <v>662</v>
      </c>
      <c r="E346" s="7" t="s">
        <v>663</v>
      </c>
      <c r="F346" s="28">
        <v>916</v>
      </c>
      <c r="G346" s="29" t="s">
        <v>331</v>
      </c>
      <c r="H346" s="30">
        <v>0</v>
      </c>
      <c r="I346" s="30">
        <f t="shared" si="21"/>
        <v>916</v>
      </c>
      <c r="J346" s="7">
        <f t="shared" ca="1" si="22"/>
        <v>0</v>
      </c>
      <c r="K346" s="7" t="str">
        <f t="shared" ca="1" si="23"/>
        <v>0-30 Days</v>
      </c>
      <c r="L346" s="7" t="str">
        <f t="shared" ca="1" si="25"/>
        <v>Low</v>
      </c>
      <c r="M346" s="7"/>
      <c r="N346" s="7" t="str">
        <f>IF(MasterARReport[[#This Row],[Outstanding Amount]]=0, "PAID", "PENDING")</f>
        <v>PENDING</v>
      </c>
    </row>
    <row r="347" spans="1:14" x14ac:dyDescent="0.3">
      <c r="A347" s="37">
        <v>346</v>
      </c>
      <c r="B347" s="37" t="s">
        <v>513</v>
      </c>
      <c r="C347" s="38" t="s">
        <v>664</v>
      </c>
      <c r="D347" s="39" t="s">
        <v>665</v>
      </c>
      <c r="E347" s="39" t="s">
        <v>666</v>
      </c>
      <c r="F347" s="40">
        <v>46188</v>
      </c>
      <c r="G347" s="41" t="s">
        <v>667</v>
      </c>
      <c r="H347" s="42">
        <v>0</v>
      </c>
      <c r="I347" s="42">
        <f t="shared" si="21"/>
        <v>46188</v>
      </c>
      <c r="J347" s="39">
        <f t="shared" ca="1" si="22"/>
        <v>0</v>
      </c>
      <c r="K347" s="39" t="str">
        <f t="shared" ca="1" si="23"/>
        <v>0-30 Days</v>
      </c>
      <c r="L347" s="39" t="str">
        <f t="shared" ca="1" si="25"/>
        <v>Low</v>
      </c>
      <c r="M347" s="39"/>
      <c r="N347" s="7" t="str">
        <f>IF(MasterARReport[[#This Row],[Outstanding Amount]]=0, "PAID", "PENDING")</f>
        <v>PENDING</v>
      </c>
    </row>
    <row r="348" spans="1:14" x14ac:dyDescent="0.3">
      <c r="A348" s="26">
        <v>347</v>
      </c>
      <c r="B348" s="26" t="s">
        <v>513</v>
      </c>
      <c r="C348" s="27" t="s">
        <v>668</v>
      </c>
      <c r="D348" s="7" t="s">
        <v>669</v>
      </c>
      <c r="E348" s="7" t="s">
        <v>670</v>
      </c>
      <c r="F348" s="28">
        <v>19580</v>
      </c>
      <c r="G348" s="29" t="s">
        <v>671</v>
      </c>
      <c r="H348" s="30">
        <v>0</v>
      </c>
      <c r="I348" s="30">
        <f t="shared" si="21"/>
        <v>19580</v>
      </c>
      <c r="J348" s="7">
        <f t="shared" ca="1" si="22"/>
        <v>13</v>
      </c>
      <c r="K348" s="7" t="str">
        <f t="shared" ca="1" si="23"/>
        <v>0-30 Days</v>
      </c>
      <c r="L348" s="7" t="str">
        <f t="shared" ca="1" si="25"/>
        <v>Low</v>
      </c>
      <c r="M348" s="7"/>
      <c r="N348" s="7" t="str">
        <f>IF(MasterARReport[[#This Row],[Outstanding Amount]]=0, "PAID", "PENDING")</f>
        <v>PENDING</v>
      </c>
    </row>
    <row r="349" spans="1:14" x14ac:dyDescent="0.3">
      <c r="A349" s="37">
        <v>348</v>
      </c>
      <c r="B349" s="37" t="s">
        <v>513</v>
      </c>
      <c r="C349" s="38" t="s">
        <v>318</v>
      </c>
      <c r="D349" s="39" t="s">
        <v>672</v>
      </c>
      <c r="E349" s="39" t="s">
        <v>673</v>
      </c>
      <c r="F349" s="40">
        <v>12951</v>
      </c>
      <c r="G349" s="41" t="s">
        <v>477</v>
      </c>
      <c r="H349" s="42">
        <v>0</v>
      </c>
      <c r="I349" s="42">
        <f t="shared" si="21"/>
        <v>12951</v>
      </c>
      <c r="J349" s="39">
        <f t="shared" ca="1" si="22"/>
        <v>0</v>
      </c>
      <c r="K349" s="39" t="str">
        <f t="shared" ca="1" si="23"/>
        <v>0-30 Days</v>
      </c>
      <c r="L349" s="39" t="str">
        <f t="shared" ca="1" si="25"/>
        <v>Low</v>
      </c>
      <c r="M349" s="39"/>
      <c r="N349" s="7" t="str">
        <f>IF(MasterARReport[[#This Row],[Outstanding Amount]]=0, "PAID", "PENDING")</f>
        <v>PENDING</v>
      </c>
    </row>
    <row r="350" spans="1:14" x14ac:dyDescent="0.3">
      <c r="A350" s="26">
        <v>349</v>
      </c>
      <c r="B350" s="26" t="s">
        <v>513</v>
      </c>
      <c r="C350" s="27" t="s">
        <v>501</v>
      </c>
      <c r="D350" s="7" t="s">
        <v>674</v>
      </c>
      <c r="E350" s="7" t="s">
        <v>675</v>
      </c>
      <c r="F350" s="28">
        <v>916</v>
      </c>
      <c r="G350" s="29" t="s">
        <v>331</v>
      </c>
      <c r="H350" s="30">
        <v>0</v>
      </c>
      <c r="I350" s="30">
        <f t="shared" si="21"/>
        <v>916</v>
      </c>
      <c r="J350" s="7">
        <f t="shared" ca="1" si="22"/>
        <v>0</v>
      </c>
      <c r="K350" s="7" t="str">
        <f t="shared" ca="1" si="23"/>
        <v>0-30 Days</v>
      </c>
      <c r="L350" s="7" t="str">
        <f t="shared" ca="1" si="25"/>
        <v>Low</v>
      </c>
      <c r="M350" s="7"/>
      <c r="N350" s="7" t="str">
        <f>IF(MasterARReport[[#This Row],[Outstanding Amount]]=0, "PAID", "PENDING")</f>
        <v>PENDING</v>
      </c>
    </row>
    <row r="351" spans="1:14" x14ac:dyDescent="0.3">
      <c r="A351" s="37">
        <v>350</v>
      </c>
      <c r="B351" s="37" t="s">
        <v>513</v>
      </c>
      <c r="C351" s="38" t="s">
        <v>318</v>
      </c>
      <c r="D351" s="39" t="s">
        <v>676</v>
      </c>
      <c r="E351" s="39" t="s">
        <v>677</v>
      </c>
      <c r="F351" s="40">
        <v>1143</v>
      </c>
      <c r="G351" s="41" t="s">
        <v>477</v>
      </c>
      <c r="H351" s="42">
        <v>0</v>
      </c>
      <c r="I351" s="42">
        <f t="shared" si="21"/>
        <v>1143</v>
      </c>
      <c r="J351" s="39">
        <f t="shared" ca="1" si="22"/>
        <v>0</v>
      </c>
      <c r="K351" s="39" t="str">
        <f t="shared" ca="1" si="23"/>
        <v>0-30 Days</v>
      </c>
      <c r="L351" s="39" t="str">
        <f t="shared" ca="1" si="25"/>
        <v>Low</v>
      </c>
      <c r="M351" s="39"/>
      <c r="N351" s="7" t="str">
        <f>IF(MasterARReport[[#This Row],[Outstanding Amount]]=0, "PAID", "PENDING")</f>
        <v>PENDING</v>
      </c>
    </row>
    <row r="352" spans="1:14" x14ac:dyDescent="0.3">
      <c r="A352" s="26">
        <v>351</v>
      </c>
      <c r="B352" s="26" t="s">
        <v>513</v>
      </c>
      <c r="C352" s="27" t="s">
        <v>320</v>
      </c>
      <c r="D352" s="7" t="s">
        <v>678</v>
      </c>
      <c r="E352" s="7" t="s">
        <v>679</v>
      </c>
      <c r="F352" s="28">
        <v>1632</v>
      </c>
      <c r="G352" s="29" t="s">
        <v>636</v>
      </c>
      <c r="H352" s="30">
        <v>0</v>
      </c>
      <c r="I352" s="30">
        <f t="shared" si="21"/>
        <v>1632</v>
      </c>
      <c r="J352" s="7">
        <f t="shared" ca="1" si="22"/>
        <v>0</v>
      </c>
      <c r="K352" s="7" t="str">
        <f t="shared" ca="1" si="23"/>
        <v>0-30 Days</v>
      </c>
      <c r="L352" s="7" t="str">
        <f t="shared" ca="1" si="25"/>
        <v>Low</v>
      </c>
      <c r="M352" s="7"/>
      <c r="N352" s="7" t="str">
        <f>IF(MasterARReport[[#This Row],[Outstanding Amount]]=0, "PAID", "PENDING")</f>
        <v>PENDING</v>
      </c>
    </row>
    <row r="353" spans="1:14" x14ac:dyDescent="0.3">
      <c r="A353" s="37">
        <v>352</v>
      </c>
      <c r="B353" s="37" t="s">
        <v>513</v>
      </c>
      <c r="C353" s="38" t="s">
        <v>664</v>
      </c>
      <c r="D353" s="39" t="s">
        <v>680</v>
      </c>
      <c r="E353" s="39" t="s">
        <v>681</v>
      </c>
      <c r="F353" s="40">
        <v>3942</v>
      </c>
      <c r="G353" s="41" t="s">
        <v>667</v>
      </c>
      <c r="H353" s="42">
        <v>0</v>
      </c>
      <c r="I353" s="42">
        <f t="shared" si="21"/>
        <v>3942</v>
      </c>
      <c r="J353" s="39">
        <f t="shared" ca="1" si="22"/>
        <v>0</v>
      </c>
      <c r="K353" s="39" t="str">
        <f t="shared" ca="1" si="23"/>
        <v>0-30 Days</v>
      </c>
      <c r="L353" s="39" t="str">
        <f t="shared" ca="1" si="25"/>
        <v>Low</v>
      </c>
      <c r="M353" s="39"/>
      <c r="N353" s="7" t="str">
        <f>IF(MasterARReport[[#This Row],[Outstanding Amount]]=0, "PAID", "PENDING")</f>
        <v>PENDING</v>
      </c>
    </row>
    <row r="354" spans="1:14" x14ac:dyDescent="0.3">
      <c r="A354" s="26">
        <v>353</v>
      </c>
      <c r="B354" s="26" t="s">
        <v>513</v>
      </c>
      <c r="C354" s="27" t="s">
        <v>501</v>
      </c>
      <c r="D354" s="7" t="s">
        <v>682</v>
      </c>
      <c r="E354" s="7" t="s">
        <v>683</v>
      </c>
      <c r="F354" s="28">
        <v>916</v>
      </c>
      <c r="G354" s="29" t="s">
        <v>331</v>
      </c>
      <c r="H354" s="30">
        <v>0</v>
      </c>
      <c r="I354" s="30">
        <f t="shared" si="21"/>
        <v>916</v>
      </c>
      <c r="J354" s="7">
        <f t="shared" ca="1" si="22"/>
        <v>0</v>
      </c>
      <c r="K354" s="7" t="str">
        <f t="shared" ca="1" si="23"/>
        <v>0-30 Days</v>
      </c>
      <c r="L354" s="7" t="str">
        <f t="shared" ca="1" si="25"/>
        <v>Low</v>
      </c>
      <c r="M354" s="7"/>
      <c r="N354" s="7" t="str">
        <f>IF(MasterARReport[[#This Row],[Outstanding Amount]]=0, "PAID", "PENDING")</f>
        <v>PENDING</v>
      </c>
    </row>
    <row r="355" spans="1:14" x14ac:dyDescent="0.3">
      <c r="A355" s="37">
        <v>354</v>
      </c>
      <c r="B355" s="37" t="s">
        <v>513</v>
      </c>
      <c r="C355" s="38" t="s">
        <v>664</v>
      </c>
      <c r="D355" s="39" t="s">
        <v>684</v>
      </c>
      <c r="E355" s="39" t="s">
        <v>685</v>
      </c>
      <c r="F355" s="40">
        <v>6945</v>
      </c>
      <c r="G355" s="41" t="s">
        <v>667</v>
      </c>
      <c r="H355" s="42">
        <v>0</v>
      </c>
      <c r="I355" s="42">
        <f t="shared" si="21"/>
        <v>6945</v>
      </c>
      <c r="J355" s="39">
        <f t="shared" ca="1" si="22"/>
        <v>0</v>
      </c>
      <c r="K355" s="39" t="str">
        <f t="shared" ca="1" si="23"/>
        <v>0-30 Days</v>
      </c>
      <c r="L355" s="39" t="str">
        <f t="shared" ca="1" si="25"/>
        <v>Low</v>
      </c>
      <c r="M355" s="39"/>
      <c r="N355" s="7" t="str">
        <f>IF(MasterARReport[[#This Row],[Outstanding Amount]]=0, "PAID", "PENDING")</f>
        <v>PENDING</v>
      </c>
    </row>
    <row r="356" spans="1:14" x14ac:dyDescent="0.3">
      <c r="A356" s="26">
        <v>355</v>
      </c>
      <c r="B356" s="26" t="s">
        <v>513</v>
      </c>
      <c r="C356" s="27" t="s">
        <v>503</v>
      </c>
      <c r="D356" s="7" t="s">
        <v>686</v>
      </c>
      <c r="E356" s="7" t="s">
        <v>687</v>
      </c>
      <c r="F356" s="28">
        <v>7604</v>
      </c>
      <c r="G356" s="29" t="s">
        <v>506</v>
      </c>
      <c r="H356" s="30">
        <v>0</v>
      </c>
      <c r="I356" s="30">
        <f t="shared" si="21"/>
        <v>7604</v>
      </c>
      <c r="J356" s="7">
        <f t="shared" ca="1" si="22"/>
        <v>0</v>
      </c>
      <c r="K356" s="7" t="str">
        <f t="shared" ca="1" si="23"/>
        <v>0-30 Days</v>
      </c>
      <c r="L356" s="7" t="str">
        <f t="shared" ca="1" si="25"/>
        <v>Low</v>
      </c>
      <c r="M356" s="7"/>
      <c r="N356" s="7" t="str">
        <f>IF(MasterARReport[[#This Row],[Outstanding Amount]]=0, "PAID", "PENDING")</f>
        <v>PENDING</v>
      </c>
    </row>
    <row r="357" spans="1:14" x14ac:dyDescent="0.3">
      <c r="A357" s="37">
        <v>356</v>
      </c>
      <c r="B357" s="37" t="s">
        <v>513</v>
      </c>
      <c r="C357" s="38" t="s">
        <v>162</v>
      </c>
      <c r="D357" s="39" t="s">
        <v>688</v>
      </c>
      <c r="E357" s="39" t="s">
        <v>687</v>
      </c>
      <c r="F357" s="40">
        <v>7471</v>
      </c>
      <c r="G357" s="41" t="s">
        <v>165</v>
      </c>
      <c r="H357" s="42">
        <v>0</v>
      </c>
      <c r="I357" s="42">
        <f t="shared" si="21"/>
        <v>7471</v>
      </c>
      <c r="J357" s="39">
        <f t="shared" ca="1" si="22"/>
        <v>0</v>
      </c>
      <c r="K357" s="39" t="str">
        <f t="shared" ca="1" si="23"/>
        <v>0-30 Days</v>
      </c>
      <c r="L357" s="39" t="str">
        <f t="shared" ca="1" si="25"/>
        <v>Low</v>
      </c>
      <c r="M357" s="39"/>
      <c r="N357" s="7" t="str">
        <f>IF(MasterARReport[[#This Row],[Outstanding Amount]]=0, "PAID", "PENDING")</f>
        <v>PENDING</v>
      </c>
    </row>
    <row r="358" spans="1:14" x14ac:dyDescent="0.3">
      <c r="A358" s="26">
        <v>357</v>
      </c>
      <c r="B358" s="26" t="s">
        <v>513</v>
      </c>
      <c r="C358" s="27" t="s">
        <v>162</v>
      </c>
      <c r="D358" s="7" t="s">
        <v>689</v>
      </c>
      <c r="E358" s="7" t="s">
        <v>687</v>
      </c>
      <c r="F358" s="28">
        <v>3811</v>
      </c>
      <c r="G358" s="29" t="s">
        <v>165</v>
      </c>
      <c r="H358" s="30">
        <v>0</v>
      </c>
      <c r="I358" s="30">
        <f t="shared" si="21"/>
        <v>3811</v>
      </c>
      <c r="J358" s="7">
        <f t="shared" ca="1" si="22"/>
        <v>0</v>
      </c>
      <c r="K358" s="7" t="str">
        <f t="shared" ca="1" si="23"/>
        <v>0-30 Days</v>
      </c>
      <c r="L358" s="7" t="str">
        <f t="shared" ca="1" si="25"/>
        <v>Low</v>
      </c>
      <c r="M358" s="7"/>
      <c r="N358" s="7" t="str">
        <f>IF(MasterARReport[[#This Row],[Outstanding Amount]]=0, "PAID", "PENDING")</f>
        <v>PENDING</v>
      </c>
    </row>
    <row r="359" spans="1:14" x14ac:dyDescent="0.3">
      <c r="A359" s="37">
        <v>358</v>
      </c>
      <c r="B359" s="37" t="s">
        <v>513</v>
      </c>
      <c r="C359" s="38" t="s">
        <v>344</v>
      </c>
      <c r="D359" s="39" t="s">
        <v>690</v>
      </c>
      <c r="E359" s="39" t="s">
        <v>687</v>
      </c>
      <c r="F359" s="40">
        <v>90483</v>
      </c>
      <c r="G359" s="41" t="s">
        <v>639</v>
      </c>
      <c r="H359" s="42">
        <v>0</v>
      </c>
      <c r="I359" s="42">
        <f t="shared" si="21"/>
        <v>90483</v>
      </c>
      <c r="J359" s="39">
        <f t="shared" ca="1" si="22"/>
        <v>0</v>
      </c>
      <c r="K359" s="39" t="str">
        <f t="shared" ca="1" si="23"/>
        <v>0-30 Days</v>
      </c>
      <c r="L359" s="39" t="str">
        <f t="shared" ca="1" si="25"/>
        <v>Low</v>
      </c>
      <c r="M359" s="39"/>
      <c r="N359" s="7" t="str">
        <f>IF(MasterARReport[[#This Row],[Outstanding Amount]]=0, "PAID", "PENDING")</f>
        <v>PENDING</v>
      </c>
    </row>
    <row r="360" spans="1:14" x14ac:dyDescent="0.3">
      <c r="A360" s="26">
        <v>359</v>
      </c>
      <c r="B360" s="26" t="s">
        <v>513</v>
      </c>
      <c r="C360" s="27" t="s">
        <v>178</v>
      </c>
      <c r="D360" s="7" t="s">
        <v>691</v>
      </c>
      <c r="E360" s="7" t="s">
        <v>687</v>
      </c>
      <c r="F360" s="28">
        <v>3176</v>
      </c>
      <c r="G360" s="29" t="s">
        <v>180</v>
      </c>
      <c r="H360" s="30">
        <v>0</v>
      </c>
      <c r="I360" s="30">
        <f t="shared" si="21"/>
        <v>3176</v>
      </c>
      <c r="J360" s="7">
        <f t="shared" ca="1" si="22"/>
        <v>0</v>
      </c>
      <c r="K360" s="7" t="str">
        <f t="shared" ca="1" si="23"/>
        <v>0-30 Days</v>
      </c>
      <c r="L360" s="7" t="str">
        <f t="shared" ca="1" si="25"/>
        <v>Low</v>
      </c>
      <c r="M360" s="7"/>
      <c r="N360" s="7" t="str">
        <f>IF(MasterARReport[[#This Row],[Outstanding Amount]]=0, "PAID", "PENDING")</f>
        <v>PENDING</v>
      </c>
    </row>
    <row r="361" spans="1:14" x14ac:dyDescent="0.3">
      <c r="A361" s="37">
        <v>360</v>
      </c>
      <c r="B361" s="37" t="s">
        <v>513</v>
      </c>
      <c r="C361" s="38" t="s">
        <v>178</v>
      </c>
      <c r="D361" s="39" t="s">
        <v>692</v>
      </c>
      <c r="E361" s="39" t="s">
        <v>687</v>
      </c>
      <c r="F361" s="40">
        <v>5902</v>
      </c>
      <c r="G361" s="41" t="s">
        <v>180</v>
      </c>
      <c r="H361" s="42">
        <v>0</v>
      </c>
      <c r="I361" s="42">
        <f t="shared" si="21"/>
        <v>5902</v>
      </c>
      <c r="J361" s="39">
        <f t="shared" ca="1" si="22"/>
        <v>0</v>
      </c>
      <c r="K361" s="39" t="str">
        <f t="shared" ca="1" si="23"/>
        <v>0-30 Days</v>
      </c>
      <c r="L361" s="39" t="str">
        <f t="shared" ca="1" si="25"/>
        <v>Low</v>
      </c>
      <c r="M361" s="39"/>
      <c r="N361" s="7" t="str">
        <f>IF(MasterARReport[[#This Row],[Outstanding Amount]]=0, "PAID", "PENDING")</f>
        <v>PENDING</v>
      </c>
    </row>
    <row r="362" spans="1:14" x14ac:dyDescent="0.3">
      <c r="A362" s="63">
        <v>361</v>
      </c>
      <c r="B362" s="63" t="s">
        <v>224</v>
      </c>
      <c r="C362" s="64">
        <v>46170</v>
      </c>
      <c r="D362" s="65" t="s">
        <v>693</v>
      </c>
      <c r="E362" s="65" t="s">
        <v>306</v>
      </c>
      <c r="F362" s="66">
        <v>17129</v>
      </c>
      <c r="G362" s="67">
        <v>46171</v>
      </c>
      <c r="H362" s="66">
        <f>[1]PAYMENTS!C38</f>
        <v>17130</v>
      </c>
      <c r="I362" s="42">
        <f t="shared" si="21"/>
        <v>0</v>
      </c>
      <c r="J362" s="39">
        <f t="shared" ca="1" si="22"/>
        <v>2</v>
      </c>
      <c r="K362" s="39" t="str">
        <f t="shared" si="23"/>
        <v>Current</v>
      </c>
      <c r="L362" s="39" t="str">
        <f t="shared" si="25"/>
        <v>-</v>
      </c>
      <c r="M362" s="65" t="str">
        <f>[1]PAYMENTS!D38</f>
        <v xml:space="preserve">Paid Online </v>
      </c>
      <c r="N362" s="7" t="str">
        <f>IF(MasterARReport[[#This Row],[Outstanding Amount]]=0, "PAID", "PENDING")</f>
        <v>PAID</v>
      </c>
    </row>
    <row r="363" spans="1:14" x14ac:dyDescent="0.3">
      <c r="A363" s="63">
        <v>362</v>
      </c>
      <c r="B363" s="63" t="s">
        <v>358</v>
      </c>
      <c r="C363" s="64">
        <v>46168</v>
      </c>
      <c r="D363" s="65" t="s">
        <v>694</v>
      </c>
      <c r="E363" s="65" t="s">
        <v>385</v>
      </c>
      <c r="F363" s="66">
        <v>94023</v>
      </c>
      <c r="G363" s="67">
        <v>46193</v>
      </c>
      <c r="H363" s="66">
        <v>0</v>
      </c>
      <c r="I363" s="42">
        <f t="shared" si="21"/>
        <v>94023</v>
      </c>
      <c r="J363" s="39">
        <f t="shared" ca="1" si="22"/>
        <v>0</v>
      </c>
      <c r="K363" s="39" t="str">
        <f t="shared" ca="1" si="23"/>
        <v>0-30 Days</v>
      </c>
      <c r="L363" s="39" t="str">
        <f t="shared" ca="1" si="25"/>
        <v>Low</v>
      </c>
      <c r="M363" s="65"/>
      <c r="N363" s="7" t="str">
        <f>IF(MasterARReport[[#This Row],[Outstanding Amount]]=0, "PAID", "PENDING")</f>
        <v>PENDING</v>
      </c>
    </row>
    <row r="364" spans="1:14" x14ac:dyDescent="0.3">
      <c r="A364" s="63">
        <v>363</v>
      </c>
      <c r="B364" s="63" t="s">
        <v>358</v>
      </c>
      <c r="C364" s="64">
        <v>46168</v>
      </c>
      <c r="D364" s="65" t="s">
        <v>695</v>
      </c>
      <c r="E364" s="65" t="s">
        <v>483</v>
      </c>
      <c r="F364" s="66">
        <v>50975</v>
      </c>
      <c r="G364" s="67">
        <v>46193</v>
      </c>
      <c r="H364" s="66">
        <v>0</v>
      </c>
      <c r="I364" s="42">
        <f t="shared" si="21"/>
        <v>50975</v>
      </c>
      <c r="J364" s="39">
        <f t="shared" ca="1" si="22"/>
        <v>0</v>
      </c>
      <c r="K364" s="39" t="str">
        <f t="shared" ca="1" si="23"/>
        <v>0-30 Days</v>
      </c>
      <c r="L364" s="39" t="str">
        <f t="shared" ca="1" si="25"/>
        <v>Low</v>
      </c>
      <c r="M364" s="65"/>
      <c r="N364" s="7" t="str">
        <f>IF(MasterARReport[[#This Row],[Outstanding Amount]]=0, "PAID", "PENDING")</f>
        <v>PENDING</v>
      </c>
    </row>
    <row r="365" spans="1:14" x14ac:dyDescent="0.3">
      <c r="A365" s="63">
        <v>364</v>
      </c>
      <c r="B365" s="63" t="s">
        <v>358</v>
      </c>
      <c r="C365" s="64">
        <v>46034</v>
      </c>
      <c r="D365" s="65" t="s">
        <v>696</v>
      </c>
      <c r="E365" s="65" t="s">
        <v>474</v>
      </c>
      <c r="F365" s="66">
        <v>72634</v>
      </c>
      <c r="G365" s="67">
        <v>46034</v>
      </c>
      <c r="H365" s="66">
        <v>0</v>
      </c>
      <c r="I365" s="42">
        <f t="shared" si="21"/>
        <v>72634</v>
      </c>
      <c r="J365" s="39">
        <f t="shared" ca="1" si="22"/>
        <v>139</v>
      </c>
      <c r="K365" s="39" t="str">
        <f t="shared" ca="1" si="23"/>
        <v>90+ Days</v>
      </c>
      <c r="L365" s="39" t="str">
        <f t="shared" ca="1" si="25"/>
        <v>HIGH RISK</v>
      </c>
      <c r="M365" s="65"/>
      <c r="N365" s="7" t="str">
        <f>IF(MasterARReport[[#This Row],[Outstanding Amount]]=0, "PAID", "PENDING")</f>
        <v>PENDING</v>
      </c>
    </row>
    <row r="366" spans="1:14" x14ac:dyDescent="0.3">
      <c r="A366" s="63">
        <v>365</v>
      </c>
      <c r="B366" s="63" t="s">
        <v>14</v>
      </c>
      <c r="C366" s="64">
        <v>46010</v>
      </c>
      <c r="D366" s="65" t="s">
        <v>192</v>
      </c>
      <c r="E366" s="65" t="s">
        <v>68</v>
      </c>
      <c r="F366" s="66">
        <v>500</v>
      </c>
      <c r="G366" s="67">
        <v>46035</v>
      </c>
      <c r="H366" s="66">
        <v>0</v>
      </c>
      <c r="I366" s="42">
        <f t="shared" si="21"/>
        <v>500</v>
      </c>
      <c r="J366" s="39">
        <f t="shared" ca="1" si="22"/>
        <v>138</v>
      </c>
      <c r="K366" s="39" t="str">
        <f t="shared" ca="1" si="23"/>
        <v>90+ Days</v>
      </c>
      <c r="L366" s="39" t="str">
        <f t="shared" ca="1" si="25"/>
        <v>HIGH RISK</v>
      </c>
      <c r="M366" s="65"/>
      <c r="N366" s="7" t="str">
        <f>IF(MasterARReport[[#This Row],[Outstanding Amount]]=0, "PAID", "PENDING")</f>
        <v>PENDING</v>
      </c>
    </row>
    <row r="367" spans="1:14" x14ac:dyDescent="0.3">
      <c r="A367" s="63">
        <v>366</v>
      </c>
      <c r="B367" s="63" t="s">
        <v>14</v>
      </c>
      <c r="C367" s="64">
        <v>46169</v>
      </c>
      <c r="D367" s="65" t="s">
        <v>193</v>
      </c>
      <c r="E367" s="65" t="s">
        <v>194</v>
      </c>
      <c r="F367" s="66">
        <v>3176</v>
      </c>
      <c r="G367" s="67">
        <v>46194</v>
      </c>
      <c r="H367" s="66">
        <v>0</v>
      </c>
      <c r="I367" s="42">
        <f t="shared" si="21"/>
        <v>3176</v>
      </c>
      <c r="J367" s="39">
        <f t="shared" ca="1" si="22"/>
        <v>0</v>
      </c>
      <c r="K367" s="39" t="str">
        <f t="shared" ca="1" si="23"/>
        <v>0-30 Days</v>
      </c>
      <c r="L367" s="39" t="str">
        <f t="shared" ca="1" si="25"/>
        <v>Low</v>
      </c>
      <c r="M367" s="65"/>
      <c r="N367" s="7" t="str">
        <f>IF(MasterARReport[[#This Row],[Outstanding Amount]]=0, "PAID", "PENDING")</f>
        <v>PENDING</v>
      </c>
    </row>
    <row r="368" spans="1:14" x14ac:dyDescent="0.3">
      <c r="A368" s="63">
        <v>367</v>
      </c>
      <c r="B368" s="63" t="s">
        <v>14</v>
      </c>
      <c r="C368" s="64">
        <v>46167</v>
      </c>
      <c r="D368" s="65" t="s">
        <v>195</v>
      </c>
      <c r="E368" s="65" t="s">
        <v>196</v>
      </c>
      <c r="F368" s="66">
        <v>5422</v>
      </c>
      <c r="G368" s="67">
        <v>46192</v>
      </c>
      <c r="H368" s="66">
        <v>0</v>
      </c>
      <c r="I368" s="42">
        <f t="shared" si="21"/>
        <v>5422</v>
      </c>
      <c r="J368" s="39">
        <f t="shared" ca="1" si="22"/>
        <v>0</v>
      </c>
      <c r="K368" s="39" t="str">
        <f t="shared" ca="1" si="23"/>
        <v>0-30 Days</v>
      </c>
      <c r="L368" s="39" t="str">
        <f t="shared" ca="1" si="25"/>
        <v>Low</v>
      </c>
      <c r="M368" s="65"/>
      <c r="N368" s="7" t="str">
        <f>IF(MasterARReport[[#This Row],[Outstanding Amount]]=0, "PAID", "PENDING")</f>
        <v>PENDING</v>
      </c>
    </row>
    <row r="369" spans="1:14" x14ac:dyDescent="0.3">
      <c r="A369" s="63">
        <v>368</v>
      </c>
      <c r="B369" s="63" t="s">
        <v>14</v>
      </c>
      <c r="C369" s="64">
        <v>46010</v>
      </c>
      <c r="D369" s="65" t="s">
        <v>197</v>
      </c>
      <c r="E369" s="65" t="s">
        <v>157</v>
      </c>
      <c r="F369" s="66">
        <v>500</v>
      </c>
      <c r="G369" s="67">
        <v>46010</v>
      </c>
      <c r="H369" s="66">
        <v>0</v>
      </c>
      <c r="I369" s="42">
        <f t="shared" si="21"/>
        <v>500</v>
      </c>
      <c r="J369" s="39">
        <f t="shared" ca="1" si="22"/>
        <v>163</v>
      </c>
      <c r="K369" s="39" t="str">
        <f t="shared" ca="1" si="23"/>
        <v>90+ Days</v>
      </c>
      <c r="L369" s="39" t="str">
        <f t="shared" ca="1" si="25"/>
        <v>HIGH RISK</v>
      </c>
      <c r="M369" s="65"/>
      <c r="N369" s="7" t="str">
        <f>IF(MasterARReport[[#This Row],[Outstanding Amount]]=0, "PAID", "PENDING")</f>
        <v>PENDING</v>
      </c>
    </row>
    <row r="370" spans="1:14" x14ac:dyDescent="0.3">
      <c r="A370" s="63">
        <v>370</v>
      </c>
      <c r="B370" s="63" t="s">
        <v>513</v>
      </c>
      <c r="C370" s="64">
        <v>46168</v>
      </c>
      <c r="D370" s="65" t="s">
        <v>697</v>
      </c>
      <c r="E370" s="65" t="s">
        <v>576</v>
      </c>
      <c r="F370" s="66">
        <v>2091</v>
      </c>
      <c r="G370" s="67">
        <v>46193</v>
      </c>
      <c r="H370" s="66">
        <v>2091</v>
      </c>
      <c r="I370" s="42">
        <f t="shared" si="21"/>
        <v>0</v>
      </c>
      <c r="J370" s="39">
        <f t="shared" ca="1" si="22"/>
        <v>0</v>
      </c>
      <c r="K370" s="39" t="str">
        <f t="shared" si="23"/>
        <v>Current</v>
      </c>
      <c r="L370" s="39" t="str">
        <f t="shared" si="25"/>
        <v>-</v>
      </c>
      <c r="M370" s="65"/>
      <c r="N370" s="7" t="str">
        <f>IF(MasterARReport[[#This Row],[Outstanding Amount]]=0, "PAID", "PENDING")</f>
        <v>PAID</v>
      </c>
    </row>
    <row r="371" spans="1:14" x14ac:dyDescent="0.3">
      <c r="A371" s="63">
        <v>371</v>
      </c>
      <c r="B371" s="63" t="s">
        <v>513</v>
      </c>
      <c r="C371" s="64">
        <v>45954</v>
      </c>
      <c r="D371" s="65" t="s">
        <v>698</v>
      </c>
      <c r="E371" s="65" t="s">
        <v>578</v>
      </c>
      <c r="F371" s="66">
        <v>500</v>
      </c>
      <c r="G371" s="67">
        <v>45979</v>
      </c>
      <c r="H371" s="66">
        <v>0</v>
      </c>
      <c r="I371" s="42">
        <f t="shared" si="21"/>
        <v>500</v>
      </c>
      <c r="J371" s="39">
        <f t="shared" ca="1" si="22"/>
        <v>194</v>
      </c>
      <c r="K371" s="39" t="str">
        <f t="shared" ca="1" si="23"/>
        <v>90+ Days</v>
      </c>
      <c r="L371" s="39" t="str">
        <f t="shared" ca="1" si="25"/>
        <v>HIGH RISK</v>
      </c>
      <c r="M371" s="65"/>
      <c r="N371" s="7" t="str">
        <f>IF(MasterARReport[[#This Row],[Outstanding Amount]]=0, "PAID", "PENDING")</f>
        <v>PENDING</v>
      </c>
    </row>
    <row r="372" spans="1:14" x14ac:dyDescent="0.3">
      <c r="A372" s="63">
        <v>372</v>
      </c>
      <c r="B372" s="63" t="s">
        <v>513</v>
      </c>
      <c r="C372" s="64">
        <v>46167</v>
      </c>
      <c r="D372" s="65" t="s">
        <v>699</v>
      </c>
      <c r="E372" s="65" t="s">
        <v>700</v>
      </c>
      <c r="F372" s="66">
        <v>8855</v>
      </c>
      <c r="G372" s="67">
        <v>46192</v>
      </c>
      <c r="H372" s="66">
        <v>0</v>
      </c>
      <c r="I372" s="42">
        <f t="shared" si="21"/>
        <v>8855</v>
      </c>
      <c r="J372" s="39">
        <f t="shared" ca="1" si="22"/>
        <v>0</v>
      </c>
      <c r="K372" s="39" t="str">
        <f t="shared" ca="1" si="23"/>
        <v>0-30 Days</v>
      </c>
      <c r="L372" s="39" t="str">
        <f t="shared" ca="1" si="25"/>
        <v>Low</v>
      </c>
      <c r="M372" s="65"/>
      <c r="N372" s="7" t="str">
        <f>IF(MasterARReport[[#This Row],[Outstanding Amount]]=0, "PAID", "PENDING")</f>
        <v>PENDING</v>
      </c>
    </row>
    <row r="373" spans="1:14" x14ac:dyDescent="0.3">
      <c r="A373" s="63">
        <v>373</v>
      </c>
      <c r="B373" s="63" t="s">
        <v>513</v>
      </c>
      <c r="C373" s="64">
        <v>46169</v>
      </c>
      <c r="D373" s="65" t="s">
        <v>701</v>
      </c>
      <c r="E373" s="65" t="s">
        <v>620</v>
      </c>
      <c r="F373" s="66">
        <v>1906</v>
      </c>
      <c r="G373" s="67">
        <v>46194</v>
      </c>
      <c r="H373" s="66">
        <v>0</v>
      </c>
      <c r="I373" s="42">
        <f t="shared" si="21"/>
        <v>1906</v>
      </c>
      <c r="J373" s="39">
        <f t="shared" ca="1" si="22"/>
        <v>0</v>
      </c>
      <c r="K373" s="39" t="str">
        <f t="shared" ca="1" si="23"/>
        <v>0-30 Days</v>
      </c>
      <c r="L373" s="39" t="str">
        <f t="shared" ca="1" si="25"/>
        <v>Low</v>
      </c>
      <c r="M373" s="65"/>
      <c r="N373" s="7" t="str">
        <f>IF(MasterARReport[[#This Row],[Outstanding Amount]]=0, "PAID", "PENDING")</f>
        <v>PENDING</v>
      </c>
    </row>
    <row r="374" spans="1:14" x14ac:dyDescent="0.3">
      <c r="A374" s="63">
        <v>374</v>
      </c>
      <c r="B374" s="63" t="s">
        <v>224</v>
      </c>
      <c r="C374" s="64">
        <v>46169</v>
      </c>
      <c r="D374" s="65" t="s">
        <v>702</v>
      </c>
      <c r="E374" s="65" t="s">
        <v>703</v>
      </c>
      <c r="F374" s="66">
        <v>3371</v>
      </c>
      <c r="G374" s="67">
        <v>46170</v>
      </c>
      <c r="H374" s="66">
        <v>0</v>
      </c>
      <c r="I374" s="42">
        <f t="shared" si="21"/>
        <v>3371</v>
      </c>
      <c r="J374" s="39">
        <f t="shared" ca="1" si="22"/>
        <v>3</v>
      </c>
      <c r="K374" s="39" t="str">
        <f t="shared" ca="1" si="23"/>
        <v>0-30 Days</v>
      </c>
      <c r="L374" s="39" t="str">
        <f t="shared" ca="1" si="25"/>
        <v>Low</v>
      </c>
      <c r="M374" s="65"/>
      <c r="N374" s="7" t="str">
        <f>IF(MasterARReport[[#This Row],[Outstanding Amount]]=0, "PAID", "PENDING")</f>
        <v>PENDING</v>
      </c>
    </row>
    <row r="375" spans="1:14" x14ac:dyDescent="0.3">
      <c r="A375" s="63">
        <v>375</v>
      </c>
      <c r="B375" s="63" t="s">
        <v>224</v>
      </c>
      <c r="C375" s="64">
        <v>46167</v>
      </c>
      <c r="D375" s="65" t="s">
        <v>704</v>
      </c>
      <c r="E375" s="65" t="s">
        <v>254</v>
      </c>
      <c r="F375" s="66">
        <v>541435</v>
      </c>
      <c r="G375" s="67">
        <v>46168</v>
      </c>
      <c r="H375" s="66">
        <v>0</v>
      </c>
      <c r="I375" s="42">
        <f t="shared" si="21"/>
        <v>541435</v>
      </c>
      <c r="J375" s="39">
        <f t="shared" ca="1" si="22"/>
        <v>5</v>
      </c>
      <c r="K375" s="39" t="str">
        <f t="shared" ca="1" si="23"/>
        <v>0-30 Days</v>
      </c>
      <c r="L375" s="39" t="str">
        <f t="shared" ca="1" si="25"/>
        <v>Low</v>
      </c>
      <c r="M375" s="58" t="s">
        <v>257</v>
      </c>
      <c r="N375" s="7" t="str">
        <f>IF(MasterARReport[[#This Row],[Outstanding Amount]]=0, "PAID", "PENDING")</f>
        <v>PENDING</v>
      </c>
    </row>
    <row r="376" spans="1:14" x14ac:dyDescent="0.3">
      <c r="A376" s="63">
        <v>376</v>
      </c>
      <c r="B376" s="63" t="s">
        <v>224</v>
      </c>
      <c r="C376" s="64">
        <v>46168</v>
      </c>
      <c r="D376" s="65" t="s">
        <v>705</v>
      </c>
      <c r="E376" s="65" t="s">
        <v>254</v>
      </c>
      <c r="F376" s="66">
        <v>431878</v>
      </c>
      <c r="G376" s="67">
        <v>46169</v>
      </c>
      <c r="H376" s="66">
        <v>0</v>
      </c>
      <c r="I376" s="42">
        <f t="shared" si="21"/>
        <v>431878</v>
      </c>
      <c r="J376" s="39">
        <f t="shared" ca="1" si="22"/>
        <v>4</v>
      </c>
      <c r="K376" s="39" t="str">
        <f t="shared" ca="1" si="23"/>
        <v>0-30 Days</v>
      </c>
      <c r="L376" s="39" t="str">
        <f t="shared" ca="1" si="25"/>
        <v>Low</v>
      </c>
      <c r="M376" s="58" t="s">
        <v>257</v>
      </c>
      <c r="N376" s="7" t="str">
        <f>IF(MasterARReport[[#This Row],[Outstanding Amount]]=0, "PAID", "PENDING")</f>
        <v>PENDING</v>
      </c>
    </row>
    <row r="377" spans="1:14" x14ac:dyDescent="0.3">
      <c r="A377" s="63">
        <v>377</v>
      </c>
      <c r="B377" s="63" t="s">
        <v>224</v>
      </c>
      <c r="C377" s="64">
        <v>46168</v>
      </c>
      <c r="D377" s="65" t="s">
        <v>706</v>
      </c>
      <c r="E377" s="65" t="s">
        <v>254</v>
      </c>
      <c r="F377" s="66">
        <v>106847</v>
      </c>
      <c r="G377" s="67">
        <v>46213</v>
      </c>
      <c r="H377" s="66">
        <v>0</v>
      </c>
      <c r="I377" s="42">
        <f t="shared" si="21"/>
        <v>106847</v>
      </c>
      <c r="J377" s="39">
        <f t="shared" ca="1" si="22"/>
        <v>0</v>
      </c>
      <c r="K377" s="39" t="str">
        <f t="shared" ca="1" si="23"/>
        <v>0-30 Days</v>
      </c>
      <c r="L377" s="39" t="str">
        <f t="shared" ca="1" si="25"/>
        <v>Low</v>
      </c>
      <c r="M377" s="58" t="s">
        <v>257</v>
      </c>
      <c r="N377" s="7" t="str">
        <f>IF(MasterARReport[[#This Row],[Outstanding Amount]]=0, "PAID", "PENDING")</f>
        <v>PENDING</v>
      </c>
    </row>
    <row r="378" spans="1:14" x14ac:dyDescent="0.3">
      <c r="A378" s="63">
        <v>378</v>
      </c>
      <c r="B378" s="63" t="s">
        <v>224</v>
      </c>
      <c r="C378" s="64">
        <v>46168</v>
      </c>
      <c r="D378" s="65" t="s">
        <v>707</v>
      </c>
      <c r="E378" s="65" t="s">
        <v>254</v>
      </c>
      <c r="F378" s="66">
        <v>219533</v>
      </c>
      <c r="G378" s="67">
        <v>46213</v>
      </c>
      <c r="H378" s="66">
        <v>0</v>
      </c>
      <c r="I378" s="42">
        <f t="shared" si="21"/>
        <v>219533</v>
      </c>
      <c r="J378" s="39">
        <f t="shared" ca="1" si="22"/>
        <v>0</v>
      </c>
      <c r="K378" s="39" t="str">
        <f t="shared" ca="1" si="23"/>
        <v>0-30 Days</v>
      </c>
      <c r="L378" s="39" t="str">
        <f t="shared" ca="1" si="25"/>
        <v>Low</v>
      </c>
      <c r="M378" s="58" t="s">
        <v>257</v>
      </c>
      <c r="N378" s="7" t="str">
        <f>IF(MasterARReport[[#This Row],[Outstanding Amount]]=0, "PAID", "PENDING")</f>
        <v>PENDING</v>
      </c>
    </row>
    <row r="379" spans="1:14" x14ac:dyDescent="0.3">
      <c r="A379" s="63">
        <v>379</v>
      </c>
      <c r="B379" s="63" t="s">
        <v>224</v>
      </c>
      <c r="C379" s="64">
        <v>46169</v>
      </c>
      <c r="D379" s="65" t="s">
        <v>708</v>
      </c>
      <c r="E379" s="65" t="s">
        <v>254</v>
      </c>
      <c r="F379" s="66">
        <v>602743</v>
      </c>
      <c r="G379" s="67">
        <v>46214</v>
      </c>
      <c r="H379" s="66">
        <v>0</v>
      </c>
      <c r="I379" s="42">
        <f t="shared" si="21"/>
        <v>602743</v>
      </c>
      <c r="J379" s="39">
        <f t="shared" ca="1" si="22"/>
        <v>0</v>
      </c>
      <c r="K379" s="39" t="str">
        <f t="shared" ca="1" si="23"/>
        <v>0-30 Days</v>
      </c>
      <c r="L379" s="39" t="str">
        <f t="shared" ca="1" si="25"/>
        <v>Low</v>
      </c>
      <c r="M379" s="58" t="s">
        <v>257</v>
      </c>
      <c r="N379" s="7" t="str">
        <f>IF(MasterARReport[[#This Row],[Outstanding Amount]]=0, "PAID", "PENDING")</f>
        <v>PENDING</v>
      </c>
    </row>
    <row r="380" spans="1:14" x14ac:dyDescent="0.3">
      <c r="A380" s="63">
        <v>380</v>
      </c>
      <c r="B380" s="63" t="s">
        <v>224</v>
      </c>
      <c r="C380" s="64">
        <v>46169</v>
      </c>
      <c r="D380" s="65" t="s">
        <v>709</v>
      </c>
      <c r="E380" s="65" t="s">
        <v>254</v>
      </c>
      <c r="F380" s="66">
        <v>5219</v>
      </c>
      <c r="G380" s="67">
        <v>46214</v>
      </c>
      <c r="H380" s="66">
        <v>0</v>
      </c>
      <c r="I380" s="42">
        <f t="shared" si="21"/>
        <v>5219</v>
      </c>
      <c r="J380" s="39">
        <f t="shared" ca="1" si="22"/>
        <v>0</v>
      </c>
      <c r="K380" s="39" t="str">
        <f t="shared" ca="1" si="23"/>
        <v>0-30 Days</v>
      </c>
      <c r="L380" s="39" t="str">
        <f t="shared" ca="1" si="25"/>
        <v>Low</v>
      </c>
      <c r="M380" s="58" t="s">
        <v>257</v>
      </c>
      <c r="N380" s="7" t="str">
        <f>IF(MasterARReport[[#This Row],[Outstanding Amount]]=0, "PAID", "PENDING")</f>
        <v>PENDING</v>
      </c>
    </row>
    <row r="381" spans="1:14" x14ac:dyDescent="0.3">
      <c r="A381" s="63">
        <v>381</v>
      </c>
      <c r="B381" s="63" t="s">
        <v>224</v>
      </c>
      <c r="C381" s="64">
        <v>46169</v>
      </c>
      <c r="D381" s="65" t="s">
        <v>710</v>
      </c>
      <c r="E381" s="65" t="s">
        <v>254</v>
      </c>
      <c r="F381" s="66">
        <v>567379</v>
      </c>
      <c r="G381" s="67">
        <v>46170</v>
      </c>
      <c r="H381" s="66">
        <v>0</v>
      </c>
      <c r="I381" s="42">
        <f t="shared" si="21"/>
        <v>567379</v>
      </c>
      <c r="J381" s="39">
        <f t="shared" ca="1" si="22"/>
        <v>3</v>
      </c>
      <c r="K381" s="39" t="str">
        <f t="shared" ca="1" si="23"/>
        <v>0-30 Days</v>
      </c>
      <c r="L381" s="39" t="str">
        <f t="shared" ca="1" si="25"/>
        <v>Low</v>
      </c>
      <c r="M381" s="58" t="s">
        <v>257</v>
      </c>
      <c r="N381" s="7" t="str">
        <f>IF(MasterARReport[[#This Row],[Outstanding Amount]]=0, "PAID", "PENDING")</f>
        <v>PENDING</v>
      </c>
    </row>
    <row r="382" spans="1:14" x14ac:dyDescent="0.3">
      <c r="A382" s="63">
        <v>382</v>
      </c>
      <c r="B382" s="63" t="s">
        <v>224</v>
      </c>
      <c r="C382" s="64">
        <v>46169</v>
      </c>
      <c r="D382" s="65" t="s">
        <v>711</v>
      </c>
      <c r="E382" s="65" t="s">
        <v>254</v>
      </c>
      <c r="F382" s="66">
        <v>278144</v>
      </c>
      <c r="G382" s="67">
        <v>46170</v>
      </c>
      <c r="H382" s="66">
        <v>0</v>
      </c>
      <c r="I382" s="42">
        <f t="shared" si="21"/>
        <v>278144</v>
      </c>
      <c r="J382" s="39">
        <f t="shared" ca="1" si="22"/>
        <v>3</v>
      </c>
      <c r="K382" s="39" t="str">
        <f t="shared" ca="1" si="23"/>
        <v>0-30 Days</v>
      </c>
      <c r="L382" s="39" t="str">
        <f t="shared" ca="1" si="25"/>
        <v>Low</v>
      </c>
      <c r="M382" s="58" t="s">
        <v>257</v>
      </c>
      <c r="N382" s="7" t="str">
        <f>IF(MasterARReport[[#This Row],[Outstanding Amount]]=0, "PAID", "PENDING")</f>
        <v>PENDING</v>
      </c>
    </row>
    <row r="383" spans="1:14" x14ac:dyDescent="0.3">
      <c r="A383" s="63">
        <v>383</v>
      </c>
      <c r="B383" s="63" t="s">
        <v>224</v>
      </c>
      <c r="C383" s="64">
        <v>46169</v>
      </c>
      <c r="D383" s="65" t="s">
        <v>712</v>
      </c>
      <c r="E383" s="65" t="s">
        <v>254</v>
      </c>
      <c r="F383" s="66">
        <v>173186</v>
      </c>
      <c r="G383" s="67">
        <v>46170</v>
      </c>
      <c r="H383" s="66">
        <v>0</v>
      </c>
      <c r="I383" s="42">
        <f t="shared" si="21"/>
        <v>173186</v>
      </c>
      <c r="J383" s="39">
        <f t="shared" ca="1" si="22"/>
        <v>3</v>
      </c>
      <c r="K383" s="39" t="str">
        <f t="shared" ca="1" si="23"/>
        <v>0-30 Days</v>
      </c>
      <c r="L383" s="39" t="str">
        <f t="shared" ca="1" si="25"/>
        <v>Low</v>
      </c>
      <c r="M383" s="58" t="s">
        <v>257</v>
      </c>
      <c r="N383" s="7" t="str">
        <f>IF(MasterARReport[[#This Row],[Outstanding Amount]]=0, "PAID", "PENDING")</f>
        <v>PENDING</v>
      </c>
    </row>
    <row r="384" spans="1:14" x14ac:dyDescent="0.3">
      <c r="A384" s="63">
        <v>384</v>
      </c>
      <c r="B384" s="63" t="s">
        <v>224</v>
      </c>
      <c r="C384" s="64">
        <v>46169</v>
      </c>
      <c r="D384" s="65" t="s">
        <v>713</v>
      </c>
      <c r="E384" s="65" t="s">
        <v>254</v>
      </c>
      <c r="F384" s="66">
        <v>495342</v>
      </c>
      <c r="G384" s="67">
        <v>46214</v>
      </c>
      <c r="H384" s="66">
        <v>0</v>
      </c>
      <c r="I384" s="49">
        <f t="shared" si="21"/>
        <v>495342</v>
      </c>
      <c r="J384" s="50">
        <f t="shared" ca="1" si="22"/>
        <v>0</v>
      </c>
      <c r="K384" s="50" t="str">
        <f t="shared" ca="1" si="23"/>
        <v>0-30 Days</v>
      </c>
      <c r="L384" s="50" t="str">
        <f t="shared" ca="1" si="25"/>
        <v>Low</v>
      </c>
      <c r="M384" s="58" t="s">
        <v>257</v>
      </c>
      <c r="N384" s="7" t="str">
        <f>IF(MasterARReport[[#This Row],[Outstanding Amount]]=0, "PAID", "PENDING")</f>
        <v>PENDING</v>
      </c>
    </row>
    <row r="385" spans="1:14" x14ac:dyDescent="0.3">
      <c r="A385" s="63" t="s">
        <v>714</v>
      </c>
      <c r="B385" s="63" t="s">
        <v>224</v>
      </c>
      <c r="C385" s="64">
        <v>46170</v>
      </c>
      <c r="D385" s="65" t="s">
        <v>715</v>
      </c>
      <c r="E385" s="65" t="s">
        <v>703</v>
      </c>
      <c r="F385" s="66">
        <v>11081</v>
      </c>
      <c r="G385" s="67">
        <v>46215</v>
      </c>
      <c r="H385" s="66">
        <v>0</v>
      </c>
      <c r="I385" s="49">
        <f t="shared" si="21"/>
        <v>11081</v>
      </c>
      <c r="J385" s="50">
        <f t="shared" ca="1" si="22"/>
        <v>0</v>
      </c>
      <c r="K385" s="50" t="str">
        <f t="shared" ca="1" si="23"/>
        <v>0-30 Days</v>
      </c>
      <c r="L385" s="50" t="str">
        <f t="shared" ca="1" si="25"/>
        <v>Low</v>
      </c>
      <c r="M385" s="65"/>
      <c r="N385" s="65" t="str">
        <f>IF(MasterARReport[[#This Row],[Outstanding Amount]]=0, "PAID", "PENDING")</f>
        <v>PENDING</v>
      </c>
    </row>
    <row r="386" spans="1:14" x14ac:dyDescent="0.3">
      <c r="A386" s="63" t="s">
        <v>716</v>
      </c>
      <c r="B386" s="63" t="s">
        <v>224</v>
      </c>
      <c r="C386" s="64">
        <v>46170</v>
      </c>
      <c r="D386" s="65" t="s">
        <v>717</v>
      </c>
      <c r="E386" s="65" t="s">
        <v>239</v>
      </c>
      <c r="F386" s="66">
        <v>4741</v>
      </c>
      <c r="G386" s="67">
        <v>46215</v>
      </c>
      <c r="H386" s="66">
        <v>0</v>
      </c>
      <c r="I386" s="49">
        <f t="shared" ref="I386:I449" si="26">MAX(0,F386-H386)</f>
        <v>4741</v>
      </c>
      <c r="J386" s="50">
        <f t="shared" ref="J386:J449" ca="1" si="27">IF(G386="",0,MAX(0,TODAY()-G386))</f>
        <v>0</v>
      </c>
      <c r="K386" s="50" t="str">
        <f t="shared" ref="K386:K449" ca="1" si="28">IF(I386&lt;=0,"Current",IF(J386&lt;=30,"0-30 Days",IF(J386&lt;=60,"31-60 Days",IF(J386&lt;=90,"61-90 Days","90+ Days"))))</f>
        <v>0-30 Days</v>
      </c>
      <c r="L386" s="50" t="str">
        <f t="shared" ca="1" si="25"/>
        <v>Low</v>
      </c>
      <c r="M386" s="65"/>
      <c r="N386" s="65" t="str">
        <f>IF(MasterARReport[[#This Row],[Outstanding Amount]]=0, "PAID", "PENDING")</f>
        <v>PENDING</v>
      </c>
    </row>
    <row r="387" spans="1:14" x14ac:dyDescent="0.3">
      <c r="A387" s="63" t="s">
        <v>718</v>
      </c>
      <c r="B387" s="63" t="s">
        <v>513</v>
      </c>
      <c r="C387" s="64">
        <v>46170</v>
      </c>
      <c r="D387" s="65" t="s">
        <v>719</v>
      </c>
      <c r="E387" s="65" t="s">
        <v>517</v>
      </c>
      <c r="F387" s="66">
        <v>19608</v>
      </c>
      <c r="G387" s="67">
        <v>46195</v>
      </c>
      <c r="H387" s="66">
        <v>0</v>
      </c>
      <c r="I387" s="49">
        <f t="shared" si="26"/>
        <v>19608</v>
      </c>
      <c r="J387" s="50">
        <f t="shared" ca="1" si="27"/>
        <v>0</v>
      </c>
      <c r="K387" s="50" t="str">
        <f t="shared" ca="1" si="28"/>
        <v>0-30 Days</v>
      </c>
      <c r="L387" s="50" t="str">
        <f t="shared" ca="1" si="25"/>
        <v>Low</v>
      </c>
      <c r="M387" s="65"/>
      <c r="N387" s="65" t="str">
        <f>IF(MasterARReport[[#This Row],[Outstanding Amount]]=0, "PAID", "PENDING")</f>
        <v>PENDING</v>
      </c>
    </row>
    <row r="388" spans="1:14" x14ac:dyDescent="0.3">
      <c r="A388" s="63" t="s">
        <v>198</v>
      </c>
      <c r="B388" s="63" t="s">
        <v>14</v>
      </c>
      <c r="C388" s="64">
        <v>45568</v>
      </c>
      <c r="D388" s="65" t="s">
        <v>199</v>
      </c>
      <c r="E388" s="65" t="s">
        <v>25</v>
      </c>
      <c r="F388" s="66">
        <v>500</v>
      </c>
      <c r="G388" s="67">
        <v>45593</v>
      </c>
      <c r="H388" s="66">
        <v>0</v>
      </c>
      <c r="I388" s="49">
        <f t="shared" si="26"/>
        <v>500</v>
      </c>
      <c r="J388" s="50">
        <f t="shared" ca="1" si="27"/>
        <v>580</v>
      </c>
      <c r="K388" s="50" t="str">
        <f t="shared" ca="1" si="28"/>
        <v>90+ Days</v>
      </c>
      <c r="L388" s="50" t="str">
        <f t="shared" ca="1" si="25"/>
        <v>HIGH RISK</v>
      </c>
      <c r="M388" s="65"/>
      <c r="N388" s="65" t="str">
        <f>IF(MasterARReport[[#This Row],[Outstanding Amount]]=0, "PAID", "PENDING")</f>
        <v>PENDING</v>
      </c>
    </row>
    <row r="389" spans="1:14" x14ac:dyDescent="0.3">
      <c r="A389" s="63" t="s">
        <v>200</v>
      </c>
      <c r="B389" s="63" t="s">
        <v>14</v>
      </c>
      <c r="C389" s="64">
        <v>45850</v>
      </c>
      <c r="D389" s="65" t="s">
        <v>201</v>
      </c>
      <c r="E389" s="65" t="s">
        <v>25</v>
      </c>
      <c r="F389" s="66">
        <v>755</v>
      </c>
      <c r="G389" s="67">
        <v>45875</v>
      </c>
      <c r="H389" s="66">
        <v>0</v>
      </c>
      <c r="I389" s="49">
        <f t="shared" si="26"/>
        <v>755</v>
      </c>
      <c r="J389" s="50">
        <f t="shared" ca="1" si="27"/>
        <v>298</v>
      </c>
      <c r="K389" s="50" t="str">
        <f t="shared" ca="1" si="28"/>
        <v>90+ Days</v>
      </c>
      <c r="L389" s="50" t="str">
        <f t="shared" ca="1" si="25"/>
        <v>HIGH RISK</v>
      </c>
      <c r="M389" s="65"/>
      <c r="N389" s="65" t="str">
        <f>IF(MasterARReport[[#This Row],[Outstanding Amount]]=0, "PAID", "PENDING")</f>
        <v>PENDING</v>
      </c>
    </row>
    <row r="390" spans="1:14" x14ac:dyDescent="0.3">
      <c r="A390" s="63" t="s">
        <v>202</v>
      </c>
      <c r="B390" s="63" t="s">
        <v>14</v>
      </c>
      <c r="C390" s="64">
        <v>45993</v>
      </c>
      <c r="D390" s="65" t="s">
        <v>203</v>
      </c>
      <c r="E390" s="65" t="s">
        <v>25</v>
      </c>
      <c r="F390" s="66">
        <v>643</v>
      </c>
      <c r="G390" s="67">
        <v>46018</v>
      </c>
      <c r="H390" s="66">
        <v>0</v>
      </c>
      <c r="I390" s="49">
        <f t="shared" si="26"/>
        <v>643</v>
      </c>
      <c r="J390" s="50">
        <f t="shared" ca="1" si="27"/>
        <v>155</v>
      </c>
      <c r="K390" s="50" t="str">
        <f t="shared" ca="1" si="28"/>
        <v>90+ Days</v>
      </c>
      <c r="L390" s="50" t="str">
        <f t="shared" ca="1" si="25"/>
        <v>HIGH RISK</v>
      </c>
      <c r="M390" s="65"/>
      <c r="N390" s="65" t="str">
        <f>IF(MasterARReport[[#This Row],[Outstanding Amount]]=0, "PAID", "PENDING")</f>
        <v>PENDING</v>
      </c>
    </row>
    <row r="391" spans="1:14" x14ac:dyDescent="0.3">
      <c r="A391" s="63" t="s">
        <v>204</v>
      </c>
      <c r="B391" s="63" t="s">
        <v>14</v>
      </c>
      <c r="C391" s="64">
        <v>46002</v>
      </c>
      <c r="D391" s="65" t="s">
        <v>205</v>
      </c>
      <c r="E391" s="65" t="s">
        <v>25</v>
      </c>
      <c r="F391" s="66">
        <v>3307</v>
      </c>
      <c r="G391" s="67">
        <v>46027</v>
      </c>
      <c r="H391" s="66">
        <v>0</v>
      </c>
      <c r="I391" s="49">
        <f t="shared" si="26"/>
        <v>3307</v>
      </c>
      <c r="J391" s="50">
        <f t="shared" ca="1" si="27"/>
        <v>146</v>
      </c>
      <c r="K391" s="50" t="str">
        <f t="shared" ca="1" si="28"/>
        <v>90+ Days</v>
      </c>
      <c r="L391" s="50" t="str">
        <f t="shared" ca="1" si="25"/>
        <v>HIGH RISK</v>
      </c>
      <c r="M391" s="65"/>
      <c r="N391" s="65" t="str">
        <f>IF(MasterARReport[[#This Row],[Outstanding Amount]]=0, "PAID", "PENDING")</f>
        <v>PENDING</v>
      </c>
    </row>
    <row r="392" spans="1:14" x14ac:dyDescent="0.3">
      <c r="A392" s="63" t="s">
        <v>206</v>
      </c>
      <c r="B392" s="63" t="s">
        <v>14</v>
      </c>
      <c r="C392" s="64">
        <v>46070</v>
      </c>
      <c r="D392" s="65" t="s">
        <v>207</v>
      </c>
      <c r="E392" s="65" t="s">
        <v>25</v>
      </c>
      <c r="F392" s="66">
        <v>2137</v>
      </c>
      <c r="G392" s="67">
        <v>46095</v>
      </c>
      <c r="H392" s="66">
        <v>0</v>
      </c>
      <c r="I392" s="49">
        <f t="shared" si="26"/>
        <v>2137</v>
      </c>
      <c r="J392" s="50">
        <f t="shared" ca="1" si="27"/>
        <v>78</v>
      </c>
      <c r="K392" s="50" t="str">
        <f t="shared" ca="1" si="28"/>
        <v>61-90 Days</v>
      </c>
      <c r="L392" s="50" t="str">
        <f t="shared" ca="1" si="25"/>
        <v>Medium</v>
      </c>
      <c r="M392" s="65"/>
      <c r="N392" s="65" t="str">
        <f>IF(MasterARReport[[#This Row],[Outstanding Amount]]=0, "PAID", "PENDING")</f>
        <v>PENDING</v>
      </c>
    </row>
    <row r="393" spans="1:14" x14ac:dyDescent="0.3">
      <c r="A393" s="63" t="s">
        <v>208</v>
      </c>
      <c r="B393" s="63" t="s">
        <v>14</v>
      </c>
      <c r="C393" s="64">
        <v>46125</v>
      </c>
      <c r="D393" s="65" t="s">
        <v>209</v>
      </c>
      <c r="E393" s="65" t="s">
        <v>25</v>
      </c>
      <c r="F393" s="66">
        <v>1155</v>
      </c>
      <c r="G393" s="67">
        <v>46150</v>
      </c>
      <c r="H393" s="66">
        <v>0</v>
      </c>
      <c r="I393" s="49">
        <f t="shared" si="26"/>
        <v>1155</v>
      </c>
      <c r="J393" s="50">
        <f t="shared" ca="1" si="27"/>
        <v>23</v>
      </c>
      <c r="K393" s="50" t="str">
        <f t="shared" ca="1" si="28"/>
        <v>0-30 Days</v>
      </c>
      <c r="L393" s="50" t="str">
        <f t="shared" ca="1" si="25"/>
        <v>Low</v>
      </c>
      <c r="M393" s="65"/>
      <c r="N393" s="65" t="str">
        <f>IF(MasterARReport[[#This Row],[Outstanding Amount]]=0, "PAID", "PENDING")</f>
        <v>PENDING</v>
      </c>
    </row>
    <row r="394" spans="1:14" x14ac:dyDescent="0.3">
      <c r="A394" s="63" t="s">
        <v>210</v>
      </c>
      <c r="B394" s="63" t="s">
        <v>14</v>
      </c>
      <c r="C394" s="64">
        <v>46153</v>
      </c>
      <c r="D394" s="65" t="s">
        <v>211</v>
      </c>
      <c r="E394" s="65" t="s">
        <v>25</v>
      </c>
      <c r="F394" s="66">
        <v>8674</v>
      </c>
      <c r="G394" s="67">
        <v>46178</v>
      </c>
      <c r="H394" s="66">
        <v>0</v>
      </c>
      <c r="I394" s="49">
        <f t="shared" si="26"/>
        <v>8674</v>
      </c>
      <c r="J394" s="50">
        <f t="shared" ca="1" si="27"/>
        <v>0</v>
      </c>
      <c r="K394" s="50" t="str">
        <f t="shared" ca="1" si="28"/>
        <v>0-30 Days</v>
      </c>
      <c r="L394" s="50" t="str">
        <f t="shared" ca="1" si="25"/>
        <v>Low</v>
      </c>
      <c r="M394" s="65"/>
      <c r="N394" s="65" t="str">
        <f>IF(MasterARReport[[#This Row],[Outstanding Amount]]=0, "PAID", "PENDING")</f>
        <v>PENDING</v>
      </c>
    </row>
    <row r="395" spans="1:14" x14ac:dyDescent="0.3">
      <c r="A395" s="63" t="s">
        <v>212</v>
      </c>
      <c r="B395" s="63" t="s">
        <v>14</v>
      </c>
      <c r="C395" s="64">
        <v>46153</v>
      </c>
      <c r="D395" s="65" t="s">
        <v>213</v>
      </c>
      <c r="E395" s="65" t="s">
        <v>25</v>
      </c>
      <c r="F395" s="66">
        <v>8674</v>
      </c>
      <c r="G395" s="67">
        <v>46178</v>
      </c>
      <c r="H395" s="66">
        <v>0</v>
      </c>
      <c r="I395" s="49">
        <f t="shared" si="26"/>
        <v>8674</v>
      </c>
      <c r="J395" s="50">
        <f t="shared" ca="1" si="27"/>
        <v>0</v>
      </c>
      <c r="K395" s="50" t="str">
        <f t="shared" ca="1" si="28"/>
        <v>0-30 Days</v>
      </c>
      <c r="L395" s="50" t="str">
        <f t="shared" ca="1" si="25"/>
        <v>Low</v>
      </c>
      <c r="M395" s="65"/>
      <c r="N395" s="65" t="str">
        <f>IF(MasterARReport[[#This Row],[Outstanding Amount]]=0, "PAID", "PENDING")</f>
        <v>PENDING</v>
      </c>
    </row>
    <row r="396" spans="1:14" x14ac:dyDescent="0.3">
      <c r="A396" s="63" t="s">
        <v>720</v>
      </c>
      <c r="B396" s="63" t="s">
        <v>358</v>
      </c>
      <c r="C396" s="64">
        <v>46171</v>
      </c>
      <c r="D396" s="65" t="s">
        <v>721</v>
      </c>
      <c r="E396" s="65" t="s">
        <v>373</v>
      </c>
      <c r="F396" s="66">
        <v>2437</v>
      </c>
      <c r="G396" s="67">
        <v>46196</v>
      </c>
      <c r="H396" s="66">
        <v>0</v>
      </c>
      <c r="I396" s="49">
        <f t="shared" si="26"/>
        <v>2437</v>
      </c>
      <c r="J396" s="50">
        <f t="shared" ca="1" si="27"/>
        <v>0</v>
      </c>
      <c r="K396" s="50" t="str">
        <f t="shared" ca="1" si="28"/>
        <v>0-30 Days</v>
      </c>
      <c r="L396" s="50" t="str">
        <f t="shared" ca="1" si="25"/>
        <v>Low</v>
      </c>
      <c r="M396" s="65"/>
      <c r="N396" s="65" t="str">
        <f>IF(MasterARReport[[#This Row],[Outstanding Amount]]=0, "PAID", "PENDING")</f>
        <v>PENDING</v>
      </c>
    </row>
    <row r="397" spans="1:14" x14ac:dyDescent="0.3">
      <c r="A397" s="63" t="s">
        <v>722</v>
      </c>
      <c r="B397" s="63" t="s">
        <v>513</v>
      </c>
      <c r="C397" s="64">
        <v>46170</v>
      </c>
      <c r="D397" s="65" t="s">
        <v>723</v>
      </c>
      <c r="E397" s="65" t="s">
        <v>631</v>
      </c>
      <c r="F397" s="66">
        <v>14167</v>
      </c>
      <c r="G397" s="67">
        <v>46195</v>
      </c>
      <c r="H397" s="66">
        <v>0</v>
      </c>
      <c r="I397" s="49">
        <f t="shared" si="26"/>
        <v>14167</v>
      </c>
      <c r="J397" s="50">
        <f t="shared" ca="1" si="27"/>
        <v>0</v>
      </c>
      <c r="K397" s="50" t="str">
        <f t="shared" ca="1" si="28"/>
        <v>0-30 Days</v>
      </c>
      <c r="L397" s="50" t="str">
        <f t="shared" ca="1" si="25"/>
        <v>Low</v>
      </c>
      <c r="M397" s="65"/>
      <c r="N397" s="65" t="str">
        <f>IF(MasterARReport[[#This Row],[Outstanding Amount]]=0, "PAID", "PENDING")</f>
        <v>PENDING</v>
      </c>
    </row>
    <row r="398" spans="1:14" x14ac:dyDescent="0.3">
      <c r="A398" s="63" t="s">
        <v>724</v>
      </c>
      <c r="B398" s="63" t="s">
        <v>513</v>
      </c>
      <c r="C398" s="64">
        <v>46170</v>
      </c>
      <c r="D398" s="65" t="s">
        <v>725</v>
      </c>
      <c r="E398" s="65" t="s">
        <v>631</v>
      </c>
      <c r="F398" s="66">
        <v>7876</v>
      </c>
      <c r="G398" s="67">
        <v>46195</v>
      </c>
      <c r="H398" s="66">
        <v>0</v>
      </c>
      <c r="I398" s="49">
        <f t="shared" si="26"/>
        <v>7876</v>
      </c>
      <c r="J398" s="50">
        <f t="shared" ca="1" si="27"/>
        <v>0</v>
      </c>
      <c r="K398" s="50" t="str">
        <f t="shared" ca="1" si="28"/>
        <v>0-30 Days</v>
      </c>
      <c r="L398" s="50" t="str">
        <f t="shared" ca="1" si="25"/>
        <v>Low</v>
      </c>
      <c r="M398" s="65"/>
      <c r="N398" s="65" t="str">
        <f>IF(MasterARReport[[#This Row],[Outstanding Amount]]=0, "PAID", "PENDING")</f>
        <v>PENDING</v>
      </c>
    </row>
    <row r="399" spans="1:14" x14ac:dyDescent="0.3">
      <c r="A399" s="63" t="s">
        <v>726</v>
      </c>
      <c r="B399" s="63" t="s">
        <v>513</v>
      </c>
      <c r="C399" s="64">
        <v>46170</v>
      </c>
      <c r="D399" s="65" t="s">
        <v>727</v>
      </c>
      <c r="E399" s="65" t="s">
        <v>631</v>
      </c>
      <c r="F399" s="66">
        <v>34505</v>
      </c>
      <c r="G399" s="67">
        <v>46195</v>
      </c>
      <c r="H399" s="66">
        <v>0</v>
      </c>
      <c r="I399" s="49">
        <f t="shared" si="26"/>
        <v>34505</v>
      </c>
      <c r="J399" s="50">
        <f t="shared" ca="1" si="27"/>
        <v>0</v>
      </c>
      <c r="K399" s="50" t="str">
        <f t="shared" ca="1" si="28"/>
        <v>0-30 Days</v>
      </c>
      <c r="L399" s="50" t="str">
        <f t="shared" ca="1" si="25"/>
        <v>Low</v>
      </c>
      <c r="M399" s="65"/>
      <c r="N399" s="65" t="str">
        <f>IF(MasterARReport[[#This Row],[Outstanding Amount]]=0, "PAID", "PENDING")</f>
        <v>PENDING</v>
      </c>
    </row>
    <row r="400" spans="1:14" x14ac:dyDescent="0.3">
      <c r="A400" s="63" t="s">
        <v>728</v>
      </c>
      <c r="B400" s="63" t="s">
        <v>729</v>
      </c>
      <c r="C400" s="64">
        <v>45012</v>
      </c>
      <c r="D400" s="65" t="s">
        <v>730</v>
      </c>
      <c r="E400" s="65" t="s">
        <v>731</v>
      </c>
      <c r="F400" s="66">
        <v>10950</v>
      </c>
      <c r="G400" s="67">
        <v>45012</v>
      </c>
      <c r="H400" s="66">
        <v>0</v>
      </c>
      <c r="I400" s="49">
        <f t="shared" si="26"/>
        <v>10950</v>
      </c>
      <c r="J400" s="50">
        <f t="shared" ca="1" si="27"/>
        <v>1161</v>
      </c>
      <c r="K400" s="50" t="str">
        <f t="shared" ca="1" si="28"/>
        <v>90+ Days</v>
      </c>
      <c r="L400" s="50" t="str">
        <f t="shared" ca="1" si="25"/>
        <v>HIGH RISK</v>
      </c>
      <c r="M400" s="65" t="s">
        <v>729</v>
      </c>
      <c r="N400" s="65" t="str">
        <f>IF(MasterARReport[[#This Row],[Outstanding Amount]]=0, "PAID", "PENDING")</f>
        <v>PENDING</v>
      </c>
    </row>
    <row r="401" spans="1:14" x14ac:dyDescent="0.3">
      <c r="A401" s="63" t="s">
        <v>732</v>
      </c>
      <c r="B401" s="63" t="s">
        <v>729</v>
      </c>
      <c r="C401" s="64">
        <v>45086</v>
      </c>
      <c r="D401" s="65" t="s">
        <v>733</v>
      </c>
      <c r="E401" s="65" t="s">
        <v>731</v>
      </c>
      <c r="F401" s="66">
        <v>1116</v>
      </c>
      <c r="G401" s="67">
        <v>45086</v>
      </c>
      <c r="H401" s="66">
        <v>0</v>
      </c>
      <c r="I401" s="49">
        <f t="shared" si="26"/>
        <v>1116</v>
      </c>
      <c r="J401" s="50">
        <f t="shared" ca="1" si="27"/>
        <v>1087</v>
      </c>
      <c r="K401" s="50" t="str">
        <f t="shared" ca="1" si="28"/>
        <v>90+ Days</v>
      </c>
      <c r="L401" s="50" t="str">
        <f t="shared" ca="1" si="25"/>
        <v>HIGH RISK</v>
      </c>
      <c r="M401" s="65" t="s">
        <v>729</v>
      </c>
      <c r="N401" s="65" t="str">
        <f>IF(MasterARReport[[#This Row],[Outstanding Amount]]=0, "PAID", "PENDING")</f>
        <v>PENDING</v>
      </c>
    </row>
    <row r="402" spans="1:14" x14ac:dyDescent="0.3">
      <c r="A402" s="63" t="s">
        <v>734</v>
      </c>
      <c r="B402" s="63" t="s">
        <v>729</v>
      </c>
      <c r="C402" s="64">
        <v>45503</v>
      </c>
      <c r="D402" s="65" t="s">
        <v>735</v>
      </c>
      <c r="E402" s="65" t="s">
        <v>731</v>
      </c>
      <c r="F402" s="66">
        <v>1753</v>
      </c>
      <c r="G402" s="67">
        <v>45528</v>
      </c>
      <c r="H402" s="66">
        <v>0</v>
      </c>
      <c r="I402" s="49">
        <f t="shared" si="26"/>
        <v>1753</v>
      </c>
      <c r="J402" s="50">
        <f t="shared" ca="1" si="27"/>
        <v>645</v>
      </c>
      <c r="K402" s="50" t="str">
        <f t="shared" ca="1" si="28"/>
        <v>90+ Days</v>
      </c>
      <c r="L402" s="50" t="str">
        <f t="shared" ca="1" si="25"/>
        <v>HIGH RISK</v>
      </c>
      <c r="M402" s="65" t="s">
        <v>729</v>
      </c>
      <c r="N402" s="65" t="str">
        <f>IF(MasterARReport[[#This Row],[Outstanding Amount]]=0, "PAID", "PENDING")</f>
        <v>PENDING</v>
      </c>
    </row>
    <row r="403" spans="1:14" x14ac:dyDescent="0.3">
      <c r="A403" s="63" t="s">
        <v>736</v>
      </c>
      <c r="B403" s="63" t="s">
        <v>729</v>
      </c>
      <c r="C403" s="64">
        <v>45582</v>
      </c>
      <c r="D403" s="65" t="s">
        <v>737</v>
      </c>
      <c r="E403" s="65" t="s">
        <v>731</v>
      </c>
      <c r="F403" s="66">
        <v>1213</v>
      </c>
      <c r="G403" s="67">
        <v>45607</v>
      </c>
      <c r="H403" s="66">
        <v>0</v>
      </c>
      <c r="I403" s="49">
        <f t="shared" si="26"/>
        <v>1213</v>
      </c>
      <c r="J403" s="50">
        <f t="shared" ca="1" si="27"/>
        <v>566</v>
      </c>
      <c r="K403" s="50" t="str">
        <f t="shared" ca="1" si="28"/>
        <v>90+ Days</v>
      </c>
      <c r="L403" s="50" t="str">
        <f t="shared" ca="1" si="25"/>
        <v>HIGH RISK</v>
      </c>
      <c r="M403" s="65" t="s">
        <v>729</v>
      </c>
      <c r="N403" s="65" t="str">
        <f>IF(MasterARReport[[#This Row],[Outstanding Amount]]=0, "PAID", "PENDING")</f>
        <v>PENDING</v>
      </c>
    </row>
    <row r="404" spans="1:14" x14ac:dyDescent="0.3">
      <c r="A404" s="63" t="s">
        <v>738</v>
      </c>
      <c r="B404" s="63" t="s">
        <v>729</v>
      </c>
      <c r="C404" s="64">
        <v>45628</v>
      </c>
      <c r="D404" s="65" t="s">
        <v>739</v>
      </c>
      <c r="E404" s="65" t="s">
        <v>731</v>
      </c>
      <c r="F404" s="66">
        <v>4906</v>
      </c>
      <c r="G404" s="67">
        <v>45653</v>
      </c>
      <c r="H404" s="66">
        <v>0</v>
      </c>
      <c r="I404" s="49">
        <f t="shared" si="26"/>
        <v>4906</v>
      </c>
      <c r="J404" s="50">
        <f t="shared" ca="1" si="27"/>
        <v>520</v>
      </c>
      <c r="K404" s="50" t="str">
        <f t="shared" ca="1" si="28"/>
        <v>90+ Days</v>
      </c>
      <c r="L404" s="50" t="str">
        <f t="shared" ca="1" si="25"/>
        <v>HIGH RISK</v>
      </c>
      <c r="M404" s="65" t="s">
        <v>729</v>
      </c>
      <c r="N404" s="65" t="str">
        <f>IF(MasterARReport[[#This Row],[Outstanding Amount]]=0, "PAID", "PENDING")</f>
        <v>PENDING</v>
      </c>
    </row>
    <row r="405" spans="1:14" x14ac:dyDescent="0.3">
      <c r="A405" s="63" t="s">
        <v>740</v>
      </c>
      <c r="B405" s="63" t="s">
        <v>729</v>
      </c>
      <c r="C405" s="64">
        <v>45803</v>
      </c>
      <c r="D405" s="65" t="s">
        <v>741</v>
      </c>
      <c r="E405" s="65" t="s">
        <v>731</v>
      </c>
      <c r="F405" s="66">
        <v>1047</v>
      </c>
      <c r="G405" s="67">
        <v>45828</v>
      </c>
      <c r="H405" s="66">
        <v>0</v>
      </c>
      <c r="I405" s="49">
        <f t="shared" si="26"/>
        <v>1047</v>
      </c>
      <c r="J405" s="50">
        <f t="shared" ca="1" si="27"/>
        <v>345</v>
      </c>
      <c r="K405" s="50" t="str">
        <f t="shared" ca="1" si="28"/>
        <v>90+ Days</v>
      </c>
      <c r="L405" s="50" t="str">
        <f t="shared" ref="L405:L468" ca="1" si="29">IF(I405&lt;=0,"-",IF(J405&lt;=30,"Low",IF(J405&lt;=60,"Low-Medium",IF(J405&lt;=90,"Medium","HIGH RISK"))))</f>
        <v>HIGH RISK</v>
      </c>
      <c r="M405" s="65" t="s">
        <v>729</v>
      </c>
      <c r="N405" s="65" t="str">
        <f>IF(MasterARReport[[#This Row],[Outstanding Amount]]=0, "PAID", "PENDING")</f>
        <v>PENDING</v>
      </c>
    </row>
    <row r="406" spans="1:14" x14ac:dyDescent="0.3">
      <c r="A406" s="63" t="s">
        <v>742</v>
      </c>
      <c r="B406" s="63" t="s">
        <v>729</v>
      </c>
      <c r="C406" s="64">
        <v>45819</v>
      </c>
      <c r="D406" s="65" t="s">
        <v>743</v>
      </c>
      <c r="E406" s="65" t="s">
        <v>731</v>
      </c>
      <c r="F406" s="66">
        <v>1250</v>
      </c>
      <c r="G406" s="67">
        <v>45844</v>
      </c>
      <c r="H406" s="66">
        <v>0</v>
      </c>
      <c r="I406" s="49">
        <f t="shared" si="26"/>
        <v>1250</v>
      </c>
      <c r="J406" s="50">
        <f t="shared" ca="1" si="27"/>
        <v>329</v>
      </c>
      <c r="K406" s="50" t="str">
        <f t="shared" ca="1" si="28"/>
        <v>90+ Days</v>
      </c>
      <c r="L406" s="50" t="str">
        <f t="shared" ca="1" si="29"/>
        <v>HIGH RISK</v>
      </c>
      <c r="M406" s="65" t="s">
        <v>729</v>
      </c>
      <c r="N406" s="65" t="str">
        <f>IF(MasterARReport[[#This Row],[Outstanding Amount]]=0, "PAID", "PENDING")</f>
        <v>PENDING</v>
      </c>
    </row>
    <row r="407" spans="1:14" x14ac:dyDescent="0.3">
      <c r="A407" s="63" t="s">
        <v>744</v>
      </c>
      <c r="B407" s="63" t="s">
        <v>729</v>
      </c>
      <c r="C407" s="64">
        <v>45838</v>
      </c>
      <c r="D407" s="65" t="s">
        <v>745</v>
      </c>
      <c r="E407" s="65" t="s">
        <v>731</v>
      </c>
      <c r="F407" s="66">
        <v>516</v>
      </c>
      <c r="G407" s="67">
        <v>45863</v>
      </c>
      <c r="H407" s="66">
        <v>0</v>
      </c>
      <c r="I407" s="49">
        <f t="shared" si="26"/>
        <v>516</v>
      </c>
      <c r="J407" s="50">
        <f t="shared" ca="1" si="27"/>
        <v>310</v>
      </c>
      <c r="K407" s="50" t="str">
        <f t="shared" ca="1" si="28"/>
        <v>90+ Days</v>
      </c>
      <c r="L407" s="50" t="str">
        <f t="shared" ca="1" si="29"/>
        <v>HIGH RISK</v>
      </c>
      <c r="M407" s="65" t="s">
        <v>729</v>
      </c>
      <c r="N407" s="65" t="str">
        <f>IF(MasterARReport[[#This Row],[Outstanding Amount]]=0, "PAID", "PENDING")</f>
        <v>PENDING</v>
      </c>
    </row>
    <row r="408" spans="1:14" x14ac:dyDescent="0.3">
      <c r="A408" s="63" t="s">
        <v>746</v>
      </c>
      <c r="B408" s="63" t="s">
        <v>729</v>
      </c>
      <c r="C408" s="64">
        <v>45862</v>
      </c>
      <c r="D408" s="65" t="s">
        <v>747</v>
      </c>
      <c r="E408" s="65" t="s">
        <v>731</v>
      </c>
      <c r="F408" s="66">
        <v>393</v>
      </c>
      <c r="G408" s="67">
        <v>45887</v>
      </c>
      <c r="H408" s="66">
        <v>0</v>
      </c>
      <c r="I408" s="49">
        <f t="shared" si="26"/>
        <v>393</v>
      </c>
      <c r="J408" s="50">
        <f t="shared" ca="1" si="27"/>
        <v>286</v>
      </c>
      <c r="K408" s="50" t="str">
        <f t="shared" ca="1" si="28"/>
        <v>90+ Days</v>
      </c>
      <c r="L408" s="50" t="str">
        <f t="shared" ca="1" si="29"/>
        <v>HIGH RISK</v>
      </c>
      <c r="M408" s="65" t="s">
        <v>729</v>
      </c>
      <c r="N408" s="65" t="str">
        <f>IF(MasterARReport[[#This Row],[Outstanding Amount]]=0, "PAID", "PENDING")</f>
        <v>PENDING</v>
      </c>
    </row>
    <row r="409" spans="1:14" x14ac:dyDescent="0.3">
      <c r="A409" s="63" t="s">
        <v>748</v>
      </c>
      <c r="B409" s="63" t="s">
        <v>729</v>
      </c>
      <c r="C409" s="64">
        <v>45876</v>
      </c>
      <c r="D409" s="65" t="s">
        <v>749</v>
      </c>
      <c r="E409" s="65" t="s">
        <v>731</v>
      </c>
      <c r="F409" s="66">
        <v>535</v>
      </c>
      <c r="G409" s="67">
        <v>45901</v>
      </c>
      <c r="H409" s="66">
        <v>0</v>
      </c>
      <c r="I409" s="49">
        <f t="shared" si="26"/>
        <v>535</v>
      </c>
      <c r="J409" s="50">
        <f t="shared" ca="1" si="27"/>
        <v>272</v>
      </c>
      <c r="K409" s="50" t="str">
        <f t="shared" ca="1" si="28"/>
        <v>90+ Days</v>
      </c>
      <c r="L409" s="50" t="str">
        <f t="shared" ca="1" si="29"/>
        <v>HIGH RISK</v>
      </c>
      <c r="M409" s="65" t="s">
        <v>729</v>
      </c>
      <c r="N409" s="65" t="str">
        <f>IF(MasterARReport[[#This Row],[Outstanding Amount]]=0, "PAID", "PENDING")</f>
        <v>PENDING</v>
      </c>
    </row>
    <row r="410" spans="1:14" x14ac:dyDescent="0.3">
      <c r="A410" s="63" t="s">
        <v>750</v>
      </c>
      <c r="B410" s="63" t="s">
        <v>729</v>
      </c>
      <c r="C410" s="64">
        <v>45919</v>
      </c>
      <c r="D410" s="65" t="s">
        <v>751</v>
      </c>
      <c r="E410" s="65" t="s">
        <v>731</v>
      </c>
      <c r="F410" s="66">
        <v>663</v>
      </c>
      <c r="G410" s="67">
        <v>45944</v>
      </c>
      <c r="H410" s="66">
        <v>0</v>
      </c>
      <c r="I410" s="49">
        <f t="shared" si="26"/>
        <v>663</v>
      </c>
      <c r="J410" s="50">
        <f t="shared" ca="1" si="27"/>
        <v>229</v>
      </c>
      <c r="K410" s="50" t="str">
        <f t="shared" ca="1" si="28"/>
        <v>90+ Days</v>
      </c>
      <c r="L410" s="50" t="str">
        <f t="shared" ca="1" si="29"/>
        <v>HIGH RISK</v>
      </c>
      <c r="M410" s="65" t="s">
        <v>729</v>
      </c>
      <c r="N410" s="65" t="str">
        <f>IF(MasterARReport[[#This Row],[Outstanding Amount]]=0, "PAID", "PENDING")</f>
        <v>PENDING</v>
      </c>
    </row>
    <row r="411" spans="1:14" x14ac:dyDescent="0.3">
      <c r="A411" s="63" t="s">
        <v>752</v>
      </c>
      <c r="B411" s="63" t="s">
        <v>729</v>
      </c>
      <c r="C411" s="64">
        <v>45952</v>
      </c>
      <c r="D411" s="65" t="s">
        <v>753</v>
      </c>
      <c r="E411" s="65" t="s">
        <v>731</v>
      </c>
      <c r="F411" s="66">
        <v>821</v>
      </c>
      <c r="G411" s="67">
        <v>45977</v>
      </c>
      <c r="H411" s="66">
        <v>0</v>
      </c>
      <c r="I411" s="49">
        <f t="shared" si="26"/>
        <v>821</v>
      </c>
      <c r="J411" s="50">
        <f t="shared" ca="1" si="27"/>
        <v>196</v>
      </c>
      <c r="K411" s="50" t="str">
        <f t="shared" ca="1" si="28"/>
        <v>90+ Days</v>
      </c>
      <c r="L411" s="50" t="str">
        <f t="shared" ca="1" si="29"/>
        <v>HIGH RISK</v>
      </c>
      <c r="M411" s="65" t="s">
        <v>729</v>
      </c>
      <c r="N411" s="65" t="str">
        <f>IF(MasterARReport[[#This Row],[Outstanding Amount]]=0, "PAID", "PENDING")</f>
        <v>PENDING</v>
      </c>
    </row>
    <row r="412" spans="1:14" x14ac:dyDescent="0.3">
      <c r="A412" s="63" t="s">
        <v>754</v>
      </c>
      <c r="B412" s="63" t="s">
        <v>729</v>
      </c>
      <c r="C412" s="64">
        <v>45957</v>
      </c>
      <c r="D412" s="65" t="s">
        <v>755</v>
      </c>
      <c r="E412" s="65" t="s">
        <v>731</v>
      </c>
      <c r="F412" s="66">
        <v>277</v>
      </c>
      <c r="G412" s="67">
        <v>45982</v>
      </c>
      <c r="H412" s="66">
        <v>0</v>
      </c>
      <c r="I412" s="49">
        <f t="shared" si="26"/>
        <v>277</v>
      </c>
      <c r="J412" s="50">
        <f t="shared" ca="1" si="27"/>
        <v>191</v>
      </c>
      <c r="K412" s="50" t="str">
        <f t="shared" ca="1" si="28"/>
        <v>90+ Days</v>
      </c>
      <c r="L412" s="50" t="str">
        <f t="shared" ca="1" si="29"/>
        <v>HIGH RISK</v>
      </c>
      <c r="M412" s="65" t="s">
        <v>729</v>
      </c>
      <c r="N412" s="65" t="str">
        <f>IF(MasterARReport[[#This Row],[Outstanding Amount]]=0, "PAID", "PENDING")</f>
        <v>PENDING</v>
      </c>
    </row>
    <row r="413" spans="1:14" x14ac:dyDescent="0.3">
      <c r="A413" s="63" t="s">
        <v>756</v>
      </c>
      <c r="B413" s="63" t="s">
        <v>729</v>
      </c>
      <c r="C413" s="64">
        <v>46029</v>
      </c>
      <c r="D413" s="65" t="s">
        <v>757</v>
      </c>
      <c r="E413" s="65" t="s">
        <v>731</v>
      </c>
      <c r="F413" s="66">
        <v>540</v>
      </c>
      <c r="G413" s="67">
        <v>46054</v>
      </c>
      <c r="H413" s="66">
        <v>0</v>
      </c>
      <c r="I413" s="49">
        <f t="shared" si="26"/>
        <v>540</v>
      </c>
      <c r="J413" s="50">
        <f t="shared" ca="1" si="27"/>
        <v>119</v>
      </c>
      <c r="K413" s="50" t="str">
        <f t="shared" ca="1" si="28"/>
        <v>90+ Days</v>
      </c>
      <c r="L413" s="50" t="str">
        <f t="shared" ca="1" si="29"/>
        <v>HIGH RISK</v>
      </c>
      <c r="M413" s="65" t="s">
        <v>729</v>
      </c>
      <c r="N413" s="65" t="str">
        <f>IF(MasterARReport[[#This Row],[Outstanding Amount]]=0, "PAID", "PENDING")</f>
        <v>PENDING</v>
      </c>
    </row>
    <row r="414" spans="1:14" x14ac:dyDescent="0.3">
      <c r="A414" s="63" t="s">
        <v>758</v>
      </c>
      <c r="B414" s="63" t="s">
        <v>729</v>
      </c>
      <c r="C414" s="64">
        <v>46050</v>
      </c>
      <c r="D414" s="65" t="s">
        <v>759</v>
      </c>
      <c r="E414" s="65" t="s">
        <v>731</v>
      </c>
      <c r="F414" s="66">
        <v>12200</v>
      </c>
      <c r="G414" s="67">
        <v>46075</v>
      </c>
      <c r="H414" s="66">
        <v>0</v>
      </c>
      <c r="I414" s="49">
        <f t="shared" si="26"/>
        <v>12200</v>
      </c>
      <c r="J414" s="50">
        <f t="shared" ca="1" si="27"/>
        <v>98</v>
      </c>
      <c r="K414" s="50" t="str">
        <f t="shared" ca="1" si="28"/>
        <v>90+ Days</v>
      </c>
      <c r="L414" s="50" t="str">
        <f t="shared" ca="1" si="29"/>
        <v>HIGH RISK</v>
      </c>
      <c r="M414" s="65" t="s">
        <v>729</v>
      </c>
      <c r="N414" s="65" t="str">
        <f>IF(MasterARReport[[#This Row],[Outstanding Amount]]=0, "PAID", "PENDING")</f>
        <v>PENDING</v>
      </c>
    </row>
    <row r="415" spans="1:14" x14ac:dyDescent="0.3">
      <c r="A415" s="63" t="s">
        <v>760</v>
      </c>
      <c r="B415" s="63" t="s">
        <v>729</v>
      </c>
      <c r="C415" s="64">
        <v>46065</v>
      </c>
      <c r="D415" s="65" t="s">
        <v>761</v>
      </c>
      <c r="E415" s="65" t="s">
        <v>731</v>
      </c>
      <c r="F415" s="66">
        <v>5306</v>
      </c>
      <c r="G415" s="67">
        <v>46090</v>
      </c>
      <c r="H415" s="66">
        <v>0</v>
      </c>
      <c r="I415" s="49">
        <f t="shared" si="26"/>
        <v>5306</v>
      </c>
      <c r="J415" s="50">
        <f t="shared" ca="1" si="27"/>
        <v>83</v>
      </c>
      <c r="K415" s="50" t="str">
        <f t="shared" ca="1" si="28"/>
        <v>61-90 Days</v>
      </c>
      <c r="L415" s="50" t="str">
        <f t="shared" ca="1" si="29"/>
        <v>Medium</v>
      </c>
      <c r="M415" s="65" t="s">
        <v>729</v>
      </c>
      <c r="N415" s="65" t="str">
        <f>IF(MasterARReport[[#This Row],[Outstanding Amount]]=0, "PAID", "PENDING")</f>
        <v>PENDING</v>
      </c>
    </row>
    <row r="416" spans="1:14" x14ac:dyDescent="0.3">
      <c r="A416" s="63" t="s">
        <v>762</v>
      </c>
      <c r="B416" s="63" t="s">
        <v>729</v>
      </c>
      <c r="C416" s="64">
        <v>46067</v>
      </c>
      <c r="D416" s="65" t="s">
        <v>763</v>
      </c>
      <c r="E416" s="65" t="s">
        <v>731</v>
      </c>
      <c r="F416" s="66">
        <v>17250</v>
      </c>
      <c r="G416" s="67">
        <v>46092</v>
      </c>
      <c r="H416" s="66">
        <v>0</v>
      </c>
      <c r="I416" s="49">
        <f t="shared" si="26"/>
        <v>17250</v>
      </c>
      <c r="J416" s="50">
        <f t="shared" ca="1" si="27"/>
        <v>81</v>
      </c>
      <c r="K416" s="50" t="str">
        <f t="shared" ca="1" si="28"/>
        <v>61-90 Days</v>
      </c>
      <c r="L416" s="50" t="str">
        <f t="shared" ca="1" si="29"/>
        <v>Medium</v>
      </c>
      <c r="M416" s="65" t="s">
        <v>729</v>
      </c>
      <c r="N416" s="65" t="str">
        <f>IF(MasterARReport[[#This Row],[Outstanding Amount]]=0, "PAID", "PENDING")</f>
        <v>PENDING</v>
      </c>
    </row>
    <row r="417" spans="1:14" x14ac:dyDescent="0.3">
      <c r="A417" s="63" t="s">
        <v>764</v>
      </c>
      <c r="B417" s="63" t="s">
        <v>729</v>
      </c>
      <c r="C417" s="64">
        <v>46086</v>
      </c>
      <c r="D417" s="65" t="s">
        <v>765</v>
      </c>
      <c r="E417" s="65" t="s">
        <v>731</v>
      </c>
      <c r="F417" s="66">
        <v>43955</v>
      </c>
      <c r="G417" s="67">
        <v>46111</v>
      </c>
      <c r="H417" s="66">
        <v>0</v>
      </c>
      <c r="I417" s="49">
        <f t="shared" si="26"/>
        <v>43955</v>
      </c>
      <c r="J417" s="50">
        <f t="shared" ca="1" si="27"/>
        <v>62</v>
      </c>
      <c r="K417" s="50" t="str">
        <f t="shared" ca="1" si="28"/>
        <v>61-90 Days</v>
      </c>
      <c r="L417" s="50" t="str">
        <f t="shared" ca="1" si="29"/>
        <v>Medium</v>
      </c>
      <c r="M417" s="65" t="s">
        <v>729</v>
      </c>
      <c r="N417" s="65" t="str">
        <f>IF(MasterARReport[[#This Row],[Outstanding Amount]]=0, "PAID", "PENDING")</f>
        <v>PENDING</v>
      </c>
    </row>
    <row r="418" spans="1:14" x14ac:dyDescent="0.3">
      <c r="A418" s="63" t="s">
        <v>766</v>
      </c>
      <c r="B418" s="63" t="s">
        <v>729</v>
      </c>
      <c r="C418" s="64">
        <v>46091</v>
      </c>
      <c r="D418" s="65" t="s">
        <v>767</v>
      </c>
      <c r="E418" s="65" t="s">
        <v>731</v>
      </c>
      <c r="F418" s="66">
        <v>28646</v>
      </c>
      <c r="G418" s="67">
        <v>46116</v>
      </c>
      <c r="H418" s="66">
        <v>0</v>
      </c>
      <c r="I418" s="49">
        <f t="shared" si="26"/>
        <v>28646</v>
      </c>
      <c r="J418" s="50">
        <f t="shared" ca="1" si="27"/>
        <v>57</v>
      </c>
      <c r="K418" s="50" t="str">
        <f t="shared" ca="1" si="28"/>
        <v>31-60 Days</v>
      </c>
      <c r="L418" s="50" t="str">
        <f t="shared" ca="1" si="29"/>
        <v>Low-Medium</v>
      </c>
      <c r="M418" s="65" t="s">
        <v>729</v>
      </c>
      <c r="N418" s="65" t="str">
        <f>IF(MasterARReport[[#This Row],[Outstanding Amount]]=0, "PAID", "PENDING")</f>
        <v>PENDING</v>
      </c>
    </row>
    <row r="419" spans="1:14" x14ac:dyDescent="0.3">
      <c r="A419" s="63" t="s">
        <v>768</v>
      </c>
      <c r="B419" s="63" t="s">
        <v>729</v>
      </c>
      <c r="C419" s="64">
        <v>46104</v>
      </c>
      <c r="D419" s="65" t="s">
        <v>769</v>
      </c>
      <c r="E419" s="65" t="s">
        <v>731</v>
      </c>
      <c r="F419" s="66">
        <v>41958</v>
      </c>
      <c r="G419" s="67">
        <v>46129</v>
      </c>
      <c r="H419" s="66">
        <v>0</v>
      </c>
      <c r="I419" s="49">
        <f t="shared" si="26"/>
        <v>41958</v>
      </c>
      <c r="J419" s="50">
        <f t="shared" ca="1" si="27"/>
        <v>44</v>
      </c>
      <c r="K419" s="50" t="str">
        <f t="shared" ca="1" si="28"/>
        <v>31-60 Days</v>
      </c>
      <c r="L419" s="50" t="str">
        <f t="shared" ca="1" si="29"/>
        <v>Low-Medium</v>
      </c>
      <c r="M419" s="65" t="s">
        <v>729</v>
      </c>
      <c r="N419" s="65" t="str">
        <f>IF(MasterARReport[[#This Row],[Outstanding Amount]]=0, "PAID", "PENDING")</f>
        <v>PENDING</v>
      </c>
    </row>
    <row r="420" spans="1:14" x14ac:dyDescent="0.3">
      <c r="A420" s="63" t="s">
        <v>770</v>
      </c>
      <c r="B420" s="63" t="s">
        <v>729</v>
      </c>
      <c r="C420" s="64">
        <v>46107</v>
      </c>
      <c r="D420" s="65" t="s">
        <v>771</v>
      </c>
      <c r="E420" s="65" t="s">
        <v>731</v>
      </c>
      <c r="F420" s="66">
        <v>10545</v>
      </c>
      <c r="G420" s="67">
        <v>46132</v>
      </c>
      <c r="H420" s="66">
        <v>0</v>
      </c>
      <c r="I420" s="49">
        <f t="shared" si="26"/>
        <v>10545</v>
      </c>
      <c r="J420" s="50">
        <f t="shared" ca="1" si="27"/>
        <v>41</v>
      </c>
      <c r="K420" s="50" t="str">
        <f t="shared" ca="1" si="28"/>
        <v>31-60 Days</v>
      </c>
      <c r="L420" s="50" t="str">
        <f t="shared" ca="1" si="29"/>
        <v>Low-Medium</v>
      </c>
      <c r="M420" s="65" t="s">
        <v>729</v>
      </c>
      <c r="N420" s="65" t="str">
        <f>IF(MasterARReport[[#This Row],[Outstanding Amount]]=0, "PAID", "PENDING")</f>
        <v>PENDING</v>
      </c>
    </row>
    <row r="421" spans="1:14" x14ac:dyDescent="0.3">
      <c r="A421" s="63" t="s">
        <v>772</v>
      </c>
      <c r="B421" s="63" t="s">
        <v>729</v>
      </c>
      <c r="C421" s="64">
        <v>46111</v>
      </c>
      <c r="D421" s="65" t="s">
        <v>773</v>
      </c>
      <c r="E421" s="65" t="s">
        <v>731</v>
      </c>
      <c r="F421" s="66">
        <v>498363</v>
      </c>
      <c r="G421" s="67">
        <v>46136</v>
      </c>
      <c r="H421" s="66">
        <v>0</v>
      </c>
      <c r="I421" s="49">
        <f t="shared" si="26"/>
        <v>498363</v>
      </c>
      <c r="J421" s="50">
        <f t="shared" ca="1" si="27"/>
        <v>37</v>
      </c>
      <c r="K421" s="50" t="str">
        <f t="shared" ca="1" si="28"/>
        <v>31-60 Days</v>
      </c>
      <c r="L421" s="50" t="str">
        <f t="shared" ca="1" si="29"/>
        <v>Low-Medium</v>
      </c>
      <c r="M421" s="65" t="s">
        <v>729</v>
      </c>
      <c r="N421" s="65" t="str">
        <f>IF(MasterARReport[[#This Row],[Outstanding Amount]]=0, "PAID", "PENDING")</f>
        <v>PENDING</v>
      </c>
    </row>
    <row r="422" spans="1:14" x14ac:dyDescent="0.3">
      <c r="A422" s="63" t="s">
        <v>774</v>
      </c>
      <c r="B422" s="63" t="s">
        <v>729</v>
      </c>
      <c r="C422" s="64">
        <v>46123</v>
      </c>
      <c r="D422" s="65" t="s">
        <v>775</v>
      </c>
      <c r="E422" s="65" t="s">
        <v>731</v>
      </c>
      <c r="F422" s="66">
        <v>2440</v>
      </c>
      <c r="G422" s="67">
        <v>46148</v>
      </c>
      <c r="H422" s="66">
        <v>0</v>
      </c>
      <c r="I422" s="49">
        <f t="shared" si="26"/>
        <v>2440</v>
      </c>
      <c r="J422" s="50">
        <f t="shared" ca="1" si="27"/>
        <v>25</v>
      </c>
      <c r="K422" s="50" t="str">
        <f t="shared" ca="1" si="28"/>
        <v>0-30 Days</v>
      </c>
      <c r="L422" s="50" t="str">
        <f t="shared" ca="1" si="29"/>
        <v>Low</v>
      </c>
      <c r="M422" s="65" t="s">
        <v>729</v>
      </c>
      <c r="N422" s="65" t="str">
        <f>IF(MasterARReport[[#This Row],[Outstanding Amount]]=0, "PAID", "PENDING")</f>
        <v>PENDING</v>
      </c>
    </row>
    <row r="423" spans="1:14" x14ac:dyDescent="0.3">
      <c r="A423" s="63" t="s">
        <v>776</v>
      </c>
      <c r="B423" s="63" t="s">
        <v>513</v>
      </c>
      <c r="C423" s="64">
        <v>46171</v>
      </c>
      <c r="D423" s="65" t="s">
        <v>777</v>
      </c>
      <c r="E423" s="65" t="s">
        <v>549</v>
      </c>
      <c r="F423" s="66">
        <v>7319</v>
      </c>
      <c r="G423" s="67">
        <v>46196</v>
      </c>
      <c r="H423" s="66">
        <v>0</v>
      </c>
      <c r="I423" s="49">
        <f t="shared" si="26"/>
        <v>7319</v>
      </c>
      <c r="J423" s="50">
        <f t="shared" ca="1" si="27"/>
        <v>0</v>
      </c>
      <c r="K423" s="50" t="str">
        <f t="shared" ca="1" si="28"/>
        <v>0-30 Days</v>
      </c>
      <c r="L423" s="50" t="str">
        <f t="shared" ca="1" si="29"/>
        <v>Low</v>
      </c>
      <c r="M423" s="65"/>
      <c r="N423" s="65" t="str">
        <f>IF(MasterARReport[[#This Row],[Outstanding Amount]]=0, "PAID", "PENDING")</f>
        <v>PENDING</v>
      </c>
    </row>
    <row r="424" spans="1:14" x14ac:dyDescent="0.3">
      <c r="A424" s="63" t="s">
        <v>214</v>
      </c>
      <c r="B424" s="63" t="s">
        <v>14</v>
      </c>
      <c r="C424" s="64">
        <v>46142</v>
      </c>
      <c r="D424" s="65" t="s">
        <v>215</v>
      </c>
      <c r="E424" s="65" t="s">
        <v>93</v>
      </c>
      <c r="F424" s="66">
        <v>68714</v>
      </c>
      <c r="G424" s="67">
        <v>46142</v>
      </c>
      <c r="H424" s="66">
        <v>0</v>
      </c>
      <c r="I424" s="49">
        <f t="shared" si="26"/>
        <v>68714</v>
      </c>
      <c r="J424" s="50">
        <f t="shared" ca="1" si="27"/>
        <v>31</v>
      </c>
      <c r="K424" s="50" t="str">
        <f t="shared" ca="1" si="28"/>
        <v>31-60 Days</v>
      </c>
      <c r="L424" s="50" t="str">
        <f t="shared" ca="1" si="29"/>
        <v>Low-Medium</v>
      </c>
      <c r="M424" s="65"/>
      <c r="N424" s="65" t="str">
        <f>IF(MasterARReport[[#This Row],[Outstanding Amount]]=0, "PAID", "PENDING")</f>
        <v>PENDING</v>
      </c>
    </row>
    <row r="425" spans="1:14" x14ac:dyDescent="0.3">
      <c r="A425" s="63" t="s">
        <v>778</v>
      </c>
      <c r="B425" s="63" t="s">
        <v>358</v>
      </c>
      <c r="C425" s="64">
        <v>45308</v>
      </c>
      <c r="D425" s="65" t="s">
        <v>779</v>
      </c>
      <c r="E425" s="65" t="s">
        <v>401</v>
      </c>
      <c r="F425" s="66">
        <v>9044.07</v>
      </c>
      <c r="G425" s="67">
        <v>45308</v>
      </c>
      <c r="H425" s="66">
        <v>0</v>
      </c>
      <c r="I425" s="49">
        <f t="shared" si="26"/>
        <v>9044.07</v>
      </c>
      <c r="J425" s="50">
        <f t="shared" ca="1" si="27"/>
        <v>865</v>
      </c>
      <c r="K425" s="50" t="str">
        <f t="shared" ca="1" si="28"/>
        <v>90+ Days</v>
      </c>
      <c r="L425" s="50" t="str">
        <f t="shared" ca="1" si="29"/>
        <v>HIGH RISK</v>
      </c>
      <c r="M425" s="65"/>
      <c r="N425" s="65" t="str">
        <f>IF(MasterARReport[[#This Row],[Outstanding Amount]]=0, "PAID", "PENDING")</f>
        <v>PENDING</v>
      </c>
    </row>
    <row r="426" spans="1:14" x14ac:dyDescent="0.3">
      <c r="A426" s="63" t="s">
        <v>780</v>
      </c>
      <c r="B426" s="63" t="s">
        <v>358</v>
      </c>
      <c r="C426" s="64">
        <v>45324</v>
      </c>
      <c r="D426" s="65" t="s">
        <v>781</v>
      </c>
      <c r="E426" s="65" t="s">
        <v>401</v>
      </c>
      <c r="F426" s="66">
        <v>11732</v>
      </c>
      <c r="G426" s="67">
        <v>45324</v>
      </c>
      <c r="H426" s="66">
        <v>0</v>
      </c>
      <c r="I426" s="49">
        <f t="shared" si="26"/>
        <v>11732</v>
      </c>
      <c r="J426" s="50">
        <f t="shared" ca="1" si="27"/>
        <v>849</v>
      </c>
      <c r="K426" s="50" t="str">
        <f t="shared" ca="1" si="28"/>
        <v>90+ Days</v>
      </c>
      <c r="L426" s="50" t="str">
        <f t="shared" ca="1" si="29"/>
        <v>HIGH RISK</v>
      </c>
      <c r="M426" s="65"/>
      <c r="N426" s="65" t="str">
        <f>IF(MasterARReport[[#This Row],[Outstanding Amount]]=0, "PAID", "PENDING")</f>
        <v>PENDING</v>
      </c>
    </row>
    <row r="427" spans="1:14" x14ac:dyDescent="0.3">
      <c r="A427" s="63" t="s">
        <v>782</v>
      </c>
      <c r="B427" s="63" t="s">
        <v>358</v>
      </c>
      <c r="C427" s="64">
        <v>45348</v>
      </c>
      <c r="D427" s="65" t="s">
        <v>783</v>
      </c>
      <c r="E427" s="65" t="s">
        <v>401</v>
      </c>
      <c r="F427" s="66">
        <v>6988</v>
      </c>
      <c r="G427" s="67">
        <v>45348</v>
      </c>
      <c r="H427" s="66">
        <v>0</v>
      </c>
      <c r="I427" s="49">
        <f t="shared" si="26"/>
        <v>6988</v>
      </c>
      <c r="J427" s="50">
        <f t="shared" ca="1" si="27"/>
        <v>825</v>
      </c>
      <c r="K427" s="50" t="str">
        <f t="shared" ca="1" si="28"/>
        <v>90+ Days</v>
      </c>
      <c r="L427" s="50" t="str">
        <f t="shared" ca="1" si="29"/>
        <v>HIGH RISK</v>
      </c>
      <c r="M427" s="65"/>
      <c r="N427" s="65" t="str">
        <f>IF(MasterARReport[[#This Row],[Outstanding Amount]]=0, "PAID", "PENDING")</f>
        <v>PENDING</v>
      </c>
    </row>
    <row r="428" spans="1:14" x14ac:dyDescent="0.3">
      <c r="A428" s="63" t="s">
        <v>784</v>
      </c>
      <c r="B428" s="63" t="s">
        <v>358</v>
      </c>
      <c r="C428" s="64">
        <v>45364</v>
      </c>
      <c r="D428" s="65" t="s">
        <v>785</v>
      </c>
      <c r="E428" s="65" t="s">
        <v>401</v>
      </c>
      <c r="F428" s="66">
        <v>3519</v>
      </c>
      <c r="G428" s="67">
        <v>45364</v>
      </c>
      <c r="H428" s="66">
        <v>0</v>
      </c>
      <c r="I428" s="49">
        <f t="shared" si="26"/>
        <v>3519</v>
      </c>
      <c r="J428" s="50">
        <f t="shared" ca="1" si="27"/>
        <v>809</v>
      </c>
      <c r="K428" s="50" t="str">
        <f t="shared" ca="1" si="28"/>
        <v>90+ Days</v>
      </c>
      <c r="L428" s="50" t="str">
        <f t="shared" ca="1" si="29"/>
        <v>HIGH RISK</v>
      </c>
      <c r="M428" s="65"/>
      <c r="N428" s="65" t="str">
        <f>IF(MasterARReport[[#This Row],[Outstanding Amount]]=0, "PAID", "PENDING")</f>
        <v>PENDING</v>
      </c>
    </row>
    <row r="429" spans="1:14" x14ac:dyDescent="0.3">
      <c r="A429" s="63" t="s">
        <v>786</v>
      </c>
      <c r="B429" s="63" t="s">
        <v>358</v>
      </c>
      <c r="C429" s="64">
        <v>45399</v>
      </c>
      <c r="D429" s="65" t="s">
        <v>787</v>
      </c>
      <c r="E429" s="65" t="s">
        <v>401</v>
      </c>
      <c r="F429" s="66">
        <v>3077</v>
      </c>
      <c r="G429" s="67">
        <v>45399</v>
      </c>
      <c r="H429" s="66">
        <v>0</v>
      </c>
      <c r="I429" s="49">
        <f t="shared" si="26"/>
        <v>3077</v>
      </c>
      <c r="J429" s="50">
        <f t="shared" ca="1" si="27"/>
        <v>774</v>
      </c>
      <c r="K429" s="50" t="str">
        <f t="shared" ca="1" si="28"/>
        <v>90+ Days</v>
      </c>
      <c r="L429" s="50" t="str">
        <f t="shared" ca="1" si="29"/>
        <v>HIGH RISK</v>
      </c>
      <c r="M429" s="65"/>
      <c r="N429" s="65" t="str">
        <f>IF(MasterARReport[[#This Row],[Outstanding Amount]]=0, "PAID", "PENDING")</f>
        <v>PENDING</v>
      </c>
    </row>
    <row r="430" spans="1:14" x14ac:dyDescent="0.3">
      <c r="A430" s="63" t="s">
        <v>788</v>
      </c>
      <c r="B430" s="63" t="s">
        <v>358</v>
      </c>
      <c r="C430" s="64">
        <v>45889</v>
      </c>
      <c r="D430" s="65" t="s">
        <v>789</v>
      </c>
      <c r="E430" s="65" t="s">
        <v>401</v>
      </c>
      <c r="F430" s="66">
        <v>7821</v>
      </c>
      <c r="G430" s="67">
        <v>45889</v>
      </c>
      <c r="H430" s="66">
        <v>0</v>
      </c>
      <c r="I430" s="49">
        <f t="shared" si="26"/>
        <v>7821</v>
      </c>
      <c r="J430" s="50">
        <f t="shared" ca="1" si="27"/>
        <v>284</v>
      </c>
      <c r="K430" s="50" t="str">
        <f t="shared" ca="1" si="28"/>
        <v>90+ Days</v>
      </c>
      <c r="L430" s="50" t="str">
        <f t="shared" ca="1" si="29"/>
        <v>HIGH RISK</v>
      </c>
      <c r="M430" s="65"/>
      <c r="N430" s="65" t="str">
        <f>IF(MasterARReport[[#This Row],[Outstanding Amount]]=0, "PAID", "PENDING")</f>
        <v>PENDING</v>
      </c>
    </row>
    <row r="431" spans="1:14" x14ac:dyDescent="0.3">
      <c r="A431" s="63" t="s">
        <v>790</v>
      </c>
      <c r="B431" s="63" t="s">
        <v>513</v>
      </c>
      <c r="C431" s="64">
        <v>46171</v>
      </c>
      <c r="D431" s="65" t="s">
        <v>791</v>
      </c>
      <c r="E431" s="65" t="s">
        <v>556</v>
      </c>
      <c r="F431" s="66">
        <v>26788</v>
      </c>
      <c r="G431" s="67">
        <v>46196</v>
      </c>
      <c r="H431" s="66">
        <v>0</v>
      </c>
      <c r="I431" s="49">
        <f t="shared" si="26"/>
        <v>26788</v>
      </c>
      <c r="J431" s="50">
        <f t="shared" ca="1" si="27"/>
        <v>0</v>
      </c>
      <c r="K431" s="50" t="str">
        <f t="shared" ca="1" si="28"/>
        <v>0-30 Days</v>
      </c>
      <c r="L431" s="50" t="str">
        <f t="shared" ca="1" si="29"/>
        <v>Low</v>
      </c>
      <c r="M431" s="65"/>
      <c r="N431" s="65" t="str">
        <f>IF(MasterARReport[[#This Row],[Outstanding Amount]]=0, "PAID", "PENDING")</f>
        <v>PENDING</v>
      </c>
    </row>
    <row r="432" spans="1:14" x14ac:dyDescent="0.3">
      <c r="A432" s="63" t="s">
        <v>216</v>
      </c>
      <c r="B432" s="63" t="s">
        <v>14</v>
      </c>
      <c r="C432" s="64">
        <v>46171</v>
      </c>
      <c r="D432" s="65" t="s">
        <v>217</v>
      </c>
      <c r="E432" s="65" t="s">
        <v>95</v>
      </c>
      <c r="F432" s="66">
        <v>34894</v>
      </c>
      <c r="G432" s="67">
        <v>46196</v>
      </c>
      <c r="H432" s="66">
        <v>0</v>
      </c>
      <c r="I432" s="49">
        <f t="shared" si="26"/>
        <v>34894</v>
      </c>
      <c r="J432" s="50">
        <f t="shared" ca="1" si="27"/>
        <v>0</v>
      </c>
      <c r="K432" s="50" t="str">
        <f t="shared" ca="1" si="28"/>
        <v>0-30 Days</v>
      </c>
      <c r="L432" s="50" t="str">
        <f t="shared" ca="1" si="29"/>
        <v>Low</v>
      </c>
      <c r="M432" s="65"/>
      <c r="N432" s="65" t="str">
        <f>IF(MasterARReport[[#This Row],[Outstanding Amount]]=0, "PAID", "PENDING")</f>
        <v>PENDING</v>
      </c>
    </row>
    <row r="433" spans="1:14" x14ac:dyDescent="0.3">
      <c r="A433" s="63" t="s">
        <v>792</v>
      </c>
      <c r="B433" s="63" t="s">
        <v>358</v>
      </c>
      <c r="C433" s="64">
        <v>46171</v>
      </c>
      <c r="D433" s="65" t="s">
        <v>793</v>
      </c>
      <c r="E433" s="65" t="s">
        <v>448</v>
      </c>
      <c r="F433" s="66">
        <v>261429</v>
      </c>
      <c r="G433" s="67">
        <v>46196</v>
      </c>
      <c r="H433" s="66">
        <v>0</v>
      </c>
      <c r="I433" s="49">
        <f t="shared" si="26"/>
        <v>261429</v>
      </c>
      <c r="J433" s="50">
        <f t="shared" ca="1" si="27"/>
        <v>0</v>
      </c>
      <c r="K433" s="50" t="str">
        <f t="shared" ca="1" si="28"/>
        <v>0-30 Days</v>
      </c>
      <c r="L433" s="50" t="str">
        <f t="shared" ca="1" si="29"/>
        <v>Low</v>
      </c>
      <c r="M433" s="65"/>
      <c r="N433" s="65" t="str">
        <f>IF(MasterARReport[[#This Row],[Outstanding Amount]]=0, "PAID", "PENDING")</f>
        <v>PENDING</v>
      </c>
    </row>
    <row r="434" spans="1:14" x14ac:dyDescent="0.3">
      <c r="A434" s="63" t="s">
        <v>794</v>
      </c>
      <c r="B434" s="63" t="s">
        <v>729</v>
      </c>
      <c r="C434" s="64">
        <v>45976</v>
      </c>
      <c r="D434" s="65" t="s">
        <v>795</v>
      </c>
      <c r="E434" s="65" t="s">
        <v>796</v>
      </c>
      <c r="F434" s="66">
        <v>29337</v>
      </c>
      <c r="G434" s="67">
        <v>45976</v>
      </c>
      <c r="H434" s="66">
        <v>0</v>
      </c>
      <c r="I434" s="49">
        <f t="shared" si="26"/>
        <v>29337</v>
      </c>
      <c r="J434" s="50">
        <f t="shared" ca="1" si="27"/>
        <v>197</v>
      </c>
      <c r="K434" s="50" t="str">
        <f t="shared" ca="1" si="28"/>
        <v>90+ Days</v>
      </c>
      <c r="L434" s="50" t="str">
        <f t="shared" ca="1" si="29"/>
        <v>HIGH RISK</v>
      </c>
      <c r="M434" s="65" t="s">
        <v>729</v>
      </c>
      <c r="N434" s="65" t="str">
        <f>IF(MasterARReport[[#This Row],[Outstanding Amount]]=0, "PAID", "PENDING")</f>
        <v>PENDING</v>
      </c>
    </row>
    <row r="435" spans="1:14" x14ac:dyDescent="0.3">
      <c r="A435" s="63" t="s">
        <v>797</v>
      </c>
      <c r="B435" s="63" t="s">
        <v>729</v>
      </c>
      <c r="C435" s="64">
        <v>45985</v>
      </c>
      <c r="D435" s="65" t="s">
        <v>798</v>
      </c>
      <c r="E435" s="65" t="s">
        <v>796</v>
      </c>
      <c r="F435" s="66">
        <v>12243</v>
      </c>
      <c r="G435" s="67">
        <v>46010</v>
      </c>
      <c r="H435" s="66">
        <v>0</v>
      </c>
      <c r="I435" s="49">
        <f t="shared" si="26"/>
        <v>12243</v>
      </c>
      <c r="J435" s="50">
        <f t="shared" ca="1" si="27"/>
        <v>163</v>
      </c>
      <c r="K435" s="50" t="str">
        <f t="shared" ca="1" si="28"/>
        <v>90+ Days</v>
      </c>
      <c r="L435" s="50" t="str">
        <f t="shared" ca="1" si="29"/>
        <v>HIGH RISK</v>
      </c>
      <c r="M435" s="65" t="s">
        <v>729</v>
      </c>
      <c r="N435" s="65" t="str">
        <f>IF(MasterARReport[[#This Row],[Outstanding Amount]]=0, "PAID", "PENDING")</f>
        <v>PENDING</v>
      </c>
    </row>
    <row r="436" spans="1:14" x14ac:dyDescent="0.3">
      <c r="A436" s="63" t="s">
        <v>799</v>
      </c>
      <c r="B436" s="63" t="s">
        <v>729</v>
      </c>
      <c r="C436" s="64">
        <v>45989</v>
      </c>
      <c r="D436" s="65" t="s">
        <v>800</v>
      </c>
      <c r="E436" s="65" t="s">
        <v>796</v>
      </c>
      <c r="F436" s="66">
        <v>12243</v>
      </c>
      <c r="G436" s="67">
        <v>45989</v>
      </c>
      <c r="H436" s="66">
        <v>0</v>
      </c>
      <c r="I436" s="49">
        <f t="shared" si="26"/>
        <v>12243</v>
      </c>
      <c r="J436" s="50">
        <f t="shared" ca="1" si="27"/>
        <v>184</v>
      </c>
      <c r="K436" s="50" t="str">
        <f t="shared" ca="1" si="28"/>
        <v>90+ Days</v>
      </c>
      <c r="L436" s="50" t="str">
        <f t="shared" ca="1" si="29"/>
        <v>HIGH RISK</v>
      </c>
      <c r="M436" s="65" t="s">
        <v>729</v>
      </c>
      <c r="N436" s="65" t="str">
        <f>IF(MasterARReport[[#This Row],[Outstanding Amount]]=0, "PAID", "PENDING")</f>
        <v>PENDING</v>
      </c>
    </row>
    <row r="437" spans="1:14" x14ac:dyDescent="0.3">
      <c r="A437" s="63" t="s">
        <v>801</v>
      </c>
      <c r="B437" s="63" t="s">
        <v>729</v>
      </c>
      <c r="C437" s="64">
        <v>45996</v>
      </c>
      <c r="D437" s="65" t="s">
        <v>802</v>
      </c>
      <c r="E437" s="65" t="s">
        <v>796</v>
      </c>
      <c r="F437" s="66">
        <v>1180</v>
      </c>
      <c r="G437" s="67">
        <v>46021</v>
      </c>
      <c r="H437" s="66">
        <v>0</v>
      </c>
      <c r="I437" s="49">
        <f t="shared" si="26"/>
        <v>1180</v>
      </c>
      <c r="J437" s="50">
        <f t="shared" ca="1" si="27"/>
        <v>152</v>
      </c>
      <c r="K437" s="50" t="str">
        <f t="shared" ca="1" si="28"/>
        <v>90+ Days</v>
      </c>
      <c r="L437" s="50" t="str">
        <f t="shared" ca="1" si="29"/>
        <v>HIGH RISK</v>
      </c>
      <c r="M437" s="65" t="s">
        <v>729</v>
      </c>
      <c r="N437" s="65" t="str">
        <f>IF(MasterARReport[[#This Row],[Outstanding Amount]]=0, "PAID", "PENDING")</f>
        <v>PENDING</v>
      </c>
    </row>
    <row r="438" spans="1:14" x14ac:dyDescent="0.3">
      <c r="A438" s="63" t="s">
        <v>803</v>
      </c>
      <c r="B438" s="63" t="s">
        <v>729</v>
      </c>
      <c r="C438" s="64">
        <v>46000</v>
      </c>
      <c r="D438" s="65" t="s">
        <v>804</v>
      </c>
      <c r="E438" s="65" t="s">
        <v>796</v>
      </c>
      <c r="F438" s="66">
        <v>24486</v>
      </c>
      <c r="G438" s="67">
        <v>46025</v>
      </c>
      <c r="H438" s="66">
        <v>0</v>
      </c>
      <c r="I438" s="49">
        <f t="shared" si="26"/>
        <v>24486</v>
      </c>
      <c r="J438" s="50">
        <f t="shared" ca="1" si="27"/>
        <v>148</v>
      </c>
      <c r="K438" s="50" t="str">
        <f t="shared" ca="1" si="28"/>
        <v>90+ Days</v>
      </c>
      <c r="L438" s="50" t="str">
        <f t="shared" ca="1" si="29"/>
        <v>HIGH RISK</v>
      </c>
      <c r="M438" s="65" t="s">
        <v>729</v>
      </c>
      <c r="N438" s="65" t="str">
        <f>IF(MasterARReport[[#This Row],[Outstanding Amount]]=0, "PAID", "PENDING")</f>
        <v>PENDING</v>
      </c>
    </row>
    <row r="439" spans="1:14" x14ac:dyDescent="0.3">
      <c r="A439" s="63" t="s">
        <v>805</v>
      </c>
      <c r="B439" s="63" t="s">
        <v>729</v>
      </c>
      <c r="C439" s="64">
        <v>46001</v>
      </c>
      <c r="D439" s="65" t="s">
        <v>806</v>
      </c>
      <c r="E439" s="65" t="s">
        <v>796</v>
      </c>
      <c r="F439" s="66">
        <v>7546</v>
      </c>
      <c r="G439" s="67">
        <v>46026</v>
      </c>
      <c r="H439" s="66">
        <v>0</v>
      </c>
      <c r="I439" s="49">
        <f t="shared" si="26"/>
        <v>7546</v>
      </c>
      <c r="J439" s="50">
        <f t="shared" ca="1" si="27"/>
        <v>147</v>
      </c>
      <c r="K439" s="50" t="str">
        <f t="shared" ca="1" si="28"/>
        <v>90+ Days</v>
      </c>
      <c r="L439" s="50" t="str">
        <f t="shared" ca="1" si="29"/>
        <v>HIGH RISK</v>
      </c>
      <c r="M439" s="65" t="s">
        <v>729</v>
      </c>
      <c r="N439" s="65" t="str">
        <f>IF(MasterARReport[[#This Row],[Outstanding Amount]]=0, "PAID", "PENDING")</f>
        <v>PENDING</v>
      </c>
    </row>
    <row r="440" spans="1:14" x14ac:dyDescent="0.3">
      <c r="A440" s="63" t="s">
        <v>807</v>
      </c>
      <c r="B440" s="63" t="s">
        <v>729</v>
      </c>
      <c r="C440" s="64">
        <v>46004</v>
      </c>
      <c r="D440" s="65" t="s">
        <v>808</v>
      </c>
      <c r="E440" s="65" t="s">
        <v>796</v>
      </c>
      <c r="F440" s="66">
        <v>12243</v>
      </c>
      <c r="G440" s="67">
        <v>46029</v>
      </c>
      <c r="H440" s="66">
        <v>0</v>
      </c>
      <c r="I440" s="49">
        <f t="shared" si="26"/>
        <v>12243</v>
      </c>
      <c r="J440" s="50">
        <f t="shared" ca="1" si="27"/>
        <v>144</v>
      </c>
      <c r="K440" s="50" t="str">
        <f t="shared" ca="1" si="28"/>
        <v>90+ Days</v>
      </c>
      <c r="L440" s="50" t="str">
        <f t="shared" ca="1" si="29"/>
        <v>HIGH RISK</v>
      </c>
      <c r="M440" s="65" t="s">
        <v>729</v>
      </c>
      <c r="N440" s="65" t="str">
        <f>IF(MasterARReport[[#This Row],[Outstanding Amount]]=0, "PAID", "PENDING")</f>
        <v>PENDING</v>
      </c>
    </row>
    <row r="441" spans="1:14" x14ac:dyDescent="0.3">
      <c r="A441" s="63" t="s">
        <v>809</v>
      </c>
      <c r="B441" s="63" t="s">
        <v>729</v>
      </c>
      <c r="C441" s="64">
        <v>46014</v>
      </c>
      <c r="D441" s="65" t="s">
        <v>810</v>
      </c>
      <c r="E441" s="65" t="s">
        <v>796</v>
      </c>
      <c r="F441" s="66">
        <v>3061</v>
      </c>
      <c r="G441" s="67">
        <v>46039</v>
      </c>
      <c r="H441" s="66">
        <v>0</v>
      </c>
      <c r="I441" s="49">
        <f t="shared" si="26"/>
        <v>3061</v>
      </c>
      <c r="J441" s="50">
        <f t="shared" ca="1" si="27"/>
        <v>134</v>
      </c>
      <c r="K441" s="50" t="str">
        <f t="shared" ca="1" si="28"/>
        <v>90+ Days</v>
      </c>
      <c r="L441" s="50" t="str">
        <f t="shared" ca="1" si="29"/>
        <v>HIGH RISK</v>
      </c>
      <c r="M441" s="65" t="s">
        <v>729</v>
      </c>
      <c r="N441" s="65" t="str">
        <f>IF(MasterARReport[[#This Row],[Outstanding Amount]]=0, "PAID", "PENDING")</f>
        <v>PENDING</v>
      </c>
    </row>
    <row r="442" spans="1:14" x14ac:dyDescent="0.3">
      <c r="A442" s="63" t="s">
        <v>811</v>
      </c>
      <c r="B442" s="63" t="s">
        <v>729</v>
      </c>
      <c r="C442" s="64">
        <v>46014</v>
      </c>
      <c r="D442" s="65" t="s">
        <v>812</v>
      </c>
      <c r="E442" s="65" t="s">
        <v>796</v>
      </c>
      <c r="F442" s="66">
        <v>6121</v>
      </c>
      <c r="G442" s="67">
        <v>46039</v>
      </c>
      <c r="H442" s="66">
        <v>0</v>
      </c>
      <c r="I442" s="49">
        <f t="shared" si="26"/>
        <v>6121</v>
      </c>
      <c r="J442" s="50">
        <f t="shared" ca="1" si="27"/>
        <v>134</v>
      </c>
      <c r="K442" s="50" t="str">
        <f t="shared" ca="1" si="28"/>
        <v>90+ Days</v>
      </c>
      <c r="L442" s="50" t="str">
        <f t="shared" ca="1" si="29"/>
        <v>HIGH RISK</v>
      </c>
      <c r="M442" s="65" t="s">
        <v>729</v>
      </c>
      <c r="N442" s="65" t="str">
        <f>IF(MasterARReport[[#This Row],[Outstanding Amount]]=0, "PAID", "PENDING")</f>
        <v>PENDING</v>
      </c>
    </row>
    <row r="443" spans="1:14" x14ac:dyDescent="0.3">
      <c r="A443" s="63" t="s">
        <v>813</v>
      </c>
      <c r="B443" s="63" t="s">
        <v>729</v>
      </c>
      <c r="C443" s="64">
        <v>46022</v>
      </c>
      <c r="D443" s="65" t="s">
        <v>814</v>
      </c>
      <c r="E443" s="65" t="s">
        <v>796</v>
      </c>
      <c r="F443" s="66">
        <v>312128</v>
      </c>
      <c r="G443" s="67">
        <v>46047</v>
      </c>
      <c r="H443" s="66">
        <v>0</v>
      </c>
      <c r="I443" s="49">
        <f t="shared" si="26"/>
        <v>312128</v>
      </c>
      <c r="J443" s="50">
        <f t="shared" ca="1" si="27"/>
        <v>126</v>
      </c>
      <c r="K443" s="50" t="str">
        <f t="shared" ca="1" si="28"/>
        <v>90+ Days</v>
      </c>
      <c r="L443" s="50" t="str">
        <f t="shared" ca="1" si="29"/>
        <v>HIGH RISK</v>
      </c>
      <c r="M443" s="65" t="s">
        <v>729</v>
      </c>
      <c r="N443" s="65" t="str">
        <f>IF(MasterARReport[[#This Row],[Outstanding Amount]]=0, "PAID", "PENDING")</f>
        <v>PENDING</v>
      </c>
    </row>
    <row r="444" spans="1:14" x14ac:dyDescent="0.3">
      <c r="A444" s="63" t="s">
        <v>815</v>
      </c>
      <c r="B444" s="63" t="s">
        <v>729</v>
      </c>
      <c r="C444" s="64">
        <v>46024</v>
      </c>
      <c r="D444" s="65" t="s">
        <v>816</v>
      </c>
      <c r="E444" s="65" t="s">
        <v>796</v>
      </c>
      <c r="F444" s="66">
        <v>20790</v>
      </c>
      <c r="G444" s="67">
        <v>46024</v>
      </c>
      <c r="H444" s="66">
        <v>0</v>
      </c>
      <c r="I444" s="49">
        <f t="shared" si="26"/>
        <v>20790</v>
      </c>
      <c r="J444" s="50">
        <f t="shared" ca="1" si="27"/>
        <v>149</v>
      </c>
      <c r="K444" s="50" t="str">
        <f t="shared" ca="1" si="28"/>
        <v>90+ Days</v>
      </c>
      <c r="L444" s="50" t="str">
        <f t="shared" ca="1" si="29"/>
        <v>HIGH RISK</v>
      </c>
      <c r="M444" s="65" t="s">
        <v>729</v>
      </c>
      <c r="N444" s="65" t="str">
        <f>IF(MasterARReport[[#This Row],[Outstanding Amount]]=0, "PAID", "PENDING")</f>
        <v>PENDING</v>
      </c>
    </row>
    <row r="445" spans="1:14" x14ac:dyDescent="0.3">
      <c r="A445" s="63" t="s">
        <v>817</v>
      </c>
      <c r="B445" s="63" t="s">
        <v>729</v>
      </c>
      <c r="C445" s="64">
        <v>46029</v>
      </c>
      <c r="D445" s="65" t="s">
        <v>818</v>
      </c>
      <c r="E445" s="65" t="s">
        <v>796</v>
      </c>
      <c r="F445" s="66">
        <v>321162</v>
      </c>
      <c r="G445" s="67">
        <v>46054</v>
      </c>
      <c r="H445" s="66">
        <v>0</v>
      </c>
      <c r="I445" s="49">
        <f t="shared" si="26"/>
        <v>321162</v>
      </c>
      <c r="J445" s="50">
        <f t="shared" ca="1" si="27"/>
        <v>119</v>
      </c>
      <c r="K445" s="50" t="str">
        <f t="shared" ca="1" si="28"/>
        <v>90+ Days</v>
      </c>
      <c r="L445" s="50" t="str">
        <f t="shared" ca="1" si="29"/>
        <v>HIGH RISK</v>
      </c>
      <c r="M445" s="65" t="s">
        <v>729</v>
      </c>
      <c r="N445" s="65" t="str">
        <f>IF(MasterARReport[[#This Row],[Outstanding Amount]]=0, "PAID", "PENDING")</f>
        <v>PENDING</v>
      </c>
    </row>
    <row r="446" spans="1:14" x14ac:dyDescent="0.3">
      <c r="A446" s="63" t="s">
        <v>819</v>
      </c>
      <c r="B446" s="63" t="s">
        <v>729</v>
      </c>
      <c r="C446" s="64">
        <v>46034</v>
      </c>
      <c r="D446" s="65" t="s">
        <v>820</v>
      </c>
      <c r="E446" s="65" t="s">
        <v>796</v>
      </c>
      <c r="F446" s="66">
        <v>7546</v>
      </c>
      <c r="G446" s="67">
        <v>46059</v>
      </c>
      <c r="H446" s="66">
        <v>0</v>
      </c>
      <c r="I446" s="49">
        <f t="shared" si="26"/>
        <v>7546</v>
      </c>
      <c r="J446" s="50">
        <f t="shared" ca="1" si="27"/>
        <v>114</v>
      </c>
      <c r="K446" s="50" t="str">
        <f t="shared" ca="1" si="28"/>
        <v>90+ Days</v>
      </c>
      <c r="L446" s="50" t="str">
        <f t="shared" ca="1" si="29"/>
        <v>HIGH RISK</v>
      </c>
      <c r="M446" s="65" t="s">
        <v>729</v>
      </c>
      <c r="N446" s="65" t="str">
        <f>IF(MasterARReport[[#This Row],[Outstanding Amount]]=0, "PAID", "PENDING")</f>
        <v>PENDING</v>
      </c>
    </row>
    <row r="447" spans="1:14" x14ac:dyDescent="0.3">
      <c r="A447" s="63" t="s">
        <v>821</v>
      </c>
      <c r="B447" s="63" t="s">
        <v>729</v>
      </c>
      <c r="C447" s="64">
        <v>46041</v>
      </c>
      <c r="D447" s="65" t="s">
        <v>822</v>
      </c>
      <c r="E447" s="65" t="s">
        <v>796</v>
      </c>
      <c r="F447" s="66">
        <v>17094</v>
      </c>
      <c r="G447" s="67">
        <v>46066</v>
      </c>
      <c r="H447" s="66">
        <v>0</v>
      </c>
      <c r="I447" s="49">
        <f t="shared" si="26"/>
        <v>17094</v>
      </c>
      <c r="J447" s="50">
        <f t="shared" ca="1" si="27"/>
        <v>107</v>
      </c>
      <c r="K447" s="50" t="str">
        <f t="shared" ca="1" si="28"/>
        <v>90+ Days</v>
      </c>
      <c r="L447" s="50" t="str">
        <f t="shared" ca="1" si="29"/>
        <v>HIGH RISK</v>
      </c>
      <c r="M447" s="65" t="s">
        <v>729</v>
      </c>
      <c r="N447" s="65" t="str">
        <f>IF(MasterARReport[[#This Row],[Outstanding Amount]]=0, "PAID", "PENDING")</f>
        <v>PENDING</v>
      </c>
    </row>
    <row r="448" spans="1:14" x14ac:dyDescent="0.3">
      <c r="A448" s="63" t="s">
        <v>823</v>
      </c>
      <c r="B448" s="63" t="s">
        <v>729</v>
      </c>
      <c r="C448" s="64">
        <v>46049</v>
      </c>
      <c r="D448" s="65" t="s">
        <v>824</v>
      </c>
      <c r="E448" s="65" t="s">
        <v>796</v>
      </c>
      <c r="F448" s="66">
        <v>1218</v>
      </c>
      <c r="G448" s="67">
        <v>46074</v>
      </c>
      <c r="H448" s="66">
        <v>0</v>
      </c>
      <c r="I448" s="49">
        <f t="shared" si="26"/>
        <v>1218</v>
      </c>
      <c r="J448" s="50">
        <f t="shared" ca="1" si="27"/>
        <v>99</v>
      </c>
      <c r="K448" s="50" t="str">
        <f t="shared" ca="1" si="28"/>
        <v>90+ Days</v>
      </c>
      <c r="L448" s="50" t="str">
        <f t="shared" ca="1" si="29"/>
        <v>HIGH RISK</v>
      </c>
      <c r="M448" s="65" t="s">
        <v>729</v>
      </c>
      <c r="N448" s="65" t="str">
        <f>IF(MasterARReport[[#This Row],[Outstanding Amount]]=0, "PAID", "PENDING")</f>
        <v>PENDING</v>
      </c>
    </row>
    <row r="449" spans="1:14" x14ac:dyDescent="0.3">
      <c r="A449" s="63" t="s">
        <v>825</v>
      </c>
      <c r="B449" s="63" t="s">
        <v>729</v>
      </c>
      <c r="C449" s="64">
        <v>46055</v>
      </c>
      <c r="D449" s="65" t="s">
        <v>826</v>
      </c>
      <c r="E449" s="65" t="s">
        <v>796</v>
      </c>
      <c r="F449" s="66">
        <v>173950</v>
      </c>
      <c r="G449" s="67">
        <v>46080</v>
      </c>
      <c r="H449" s="66">
        <v>0</v>
      </c>
      <c r="I449" s="49">
        <f t="shared" si="26"/>
        <v>173950</v>
      </c>
      <c r="J449" s="50">
        <f t="shared" ca="1" si="27"/>
        <v>93</v>
      </c>
      <c r="K449" s="50" t="str">
        <f t="shared" ca="1" si="28"/>
        <v>90+ Days</v>
      </c>
      <c r="L449" s="50" t="str">
        <f t="shared" ca="1" si="29"/>
        <v>HIGH RISK</v>
      </c>
      <c r="M449" s="65" t="s">
        <v>729</v>
      </c>
      <c r="N449" s="65" t="str">
        <f>IF(MasterARReport[[#This Row],[Outstanding Amount]]=0, "PAID", "PENDING")</f>
        <v>PENDING</v>
      </c>
    </row>
    <row r="450" spans="1:14" x14ac:dyDescent="0.3">
      <c r="A450" s="63" t="s">
        <v>827</v>
      </c>
      <c r="B450" s="63" t="s">
        <v>729</v>
      </c>
      <c r="C450" s="64">
        <v>46057</v>
      </c>
      <c r="D450" s="65" t="s">
        <v>828</v>
      </c>
      <c r="E450" s="65" t="s">
        <v>796</v>
      </c>
      <c r="F450" s="66">
        <v>12705</v>
      </c>
      <c r="G450" s="67">
        <v>46082</v>
      </c>
      <c r="H450" s="66">
        <v>0</v>
      </c>
      <c r="I450" s="49">
        <f t="shared" ref="I450:I472" si="30">MAX(0,F450-H450)</f>
        <v>12705</v>
      </c>
      <c r="J450" s="50">
        <f t="shared" ref="J450:J472" ca="1" si="31">IF(G450="",0,MAX(0,TODAY()-G450))</f>
        <v>91</v>
      </c>
      <c r="K450" s="50" t="str">
        <f t="shared" ref="K450:K472" ca="1" si="32">IF(I450&lt;=0,"Current",IF(J450&lt;=30,"0-30 Days",IF(J450&lt;=60,"31-60 Days",IF(J450&lt;=90,"61-90 Days","90+ Days"))))</f>
        <v>90+ Days</v>
      </c>
      <c r="L450" s="50" t="str">
        <f t="shared" ca="1" si="29"/>
        <v>HIGH RISK</v>
      </c>
      <c r="M450" s="65" t="s">
        <v>729</v>
      </c>
      <c r="N450" s="65" t="str">
        <f>IF(MasterARReport[[#This Row],[Outstanding Amount]]=0, "PAID", "PENDING")</f>
        <v>PENDING</v>
      </c>
    </row>
    <row r="451" spans="1:14" x14ac:dyDescent="0.3">
      <c r="A451" s="63" t="s">
        <v>829</v>
      </c>
      <c r="B451" s="63" t="s">
        <v>729</v>
      </c>
      <c r="C451" s="64">
        <v>46065</v>
      </c>
      <c r="D451" s="65" t="s">
        <v>830</v>
      </c>
      <c r="E451" s="65" t="s">
        <v>796</v>
      </c>
      <c r="F451" s="66">
        <v>6734</v>
      </c>
      <c r="G451" s="67">
        <v>46090</v>
      </c>
      <c r="H451" s="66">
        <v>0</v>
      </c>
      <c r="I451" s="49">
        <f t="shared" si="30"/>
        <v>6734</v>
      </c>
      <c r="J451" s="50">
        <f t="shared" ca="1" si="31"/>
        <v>83</v>
      </c>
      <c r="K451" s="50" t="str">
        <f t="shared" ca="1" si="32"/>
        <v>61-90 Days</v>
      </c>
      <c r="L451" s="50" t="str">
        <f t="shared" ca="1" si="29"/>
        <v>Medium</v>
      </c>
      <c r="M451" s="65" t="s">
        <v>729</v>
      </c>
      <c r="N451" s="65" t="str">
        <f>IF(MasterARReport[[#This Row],[Outstanding Amount]]=0, "PAID", "PENDING")</f>
        <v>PENDING</v>
      </c>
    </row>
    <row r="452" spans="1:14" x14ac:dyDescent="0.3">
      <c r="A452" s="63" t="s">
        <v>831</v>
      </c>
      <c r="B452" s="63" t="s">
        <v>729</v>
      </c>
      <c r="C452" s="64">
        <v>46070</v>
      </c>
      <c r="D452" s="65" t="s">
        <v>832</v>
      </c>
      <c r="E452" s="65" t="s">
        <v>796</v>
      </c>
      <c r="F452" s="66">
        <v>7623</v>
      </c>
      <c r="G452" s="67">
        <v>46095</v>
      </c>
      <c r="H452" s="66">
        <v>0</v>
      </c>
      <c r="I452" s="49">
        <f t="shared" si="30"/>
        <v>7623</v>
      </c>
      <c r="J452" s="50">
        <f t="shared" ca="1" si="31"/>
        <v>78</v>
      </c>
      <c r="K452" s="50" t="str">
        <f t="shared" ca="1" si="32"/>
        <v>61-90 Days</v>
      </c>
      <c r="L452" s="50" t="str">
        <f t="shared" ca="1" si="29"/>
        <v>Medium</v>
      </c>
      <c r="M452" s="65" t="s">
        <v>729</v>
      </c>
      <c r="N452" s="65" t="str">
        <f>IF(MasterARReport[[#This Row],[Outstanding Amount]]=0, "PAID", "PENDING")</f>
        <v>PENDING</v>
      </c>
    </row>
    <row r="453" spans="1:14" x14ac:dyDescent="0.3">
      <c r="A453" s="63" t="s">
        <v>833</v>
      </c>
      <c r="B453" s="63" t="s">
        <v>729</v>
      </c>
      <c r="C453" s="64">
        <v>46073</v>
      </c>
      <c r="D453" s="65" t="s">
        <v>834</v>
      </c>
      <c r="E453" s="65" t="s">
        <v>796</v>
      </c>
      <c r="F453" s="66">
        <v>3176</v>
      </c>
      <c r="G453" s="67">
        <v>46098</v>
      </c>
      <c r="H453" s="66">
        <v>0</v>
      </c>
      <c r="I453" s="49">
        <f t="shared" si="30"/>
        <v>3176</v>
      </c>
      <c r="J453" s="50">
        <f t="shared" ca="1" si="31"/>
        <v>75</v>
      </c>
      <c r="K453" s="50" t="str">
        <f t="shared" ca="1" si="32"/>
        <v>61-90 Days</v>
      </c>
      <c r="L453" s="50" t="str">
        <f t="shared" ca="1" si="29"/>
        <v>Medium</v>
      </c>
      <c r="M453" s="65" t="s">
        <v>729</v>
      </c>
      <c r="N453" s="65" t="str">
        <f>IF(MasterARReport[[#This Row],[Outstanding Amount]]=0, "PAID", "PENDING")</f>
        <v>PENDING</v>
      </c>
    </row>
    <row r="454" spans="1:14" x14ac:dyDescent="0.3">
      <c r="A454" s="63" t="s">
        <v>835</v>
      </c>
      <c r="B454" s="63" t="s">
        <v>729</v>
      </c>
      <c r="C454" s="64">
        <v>46079</v>
      </c>
      <c r="D454" s="65" t="s">
        <v>836</v>
      </c>
      <c r="E454" s="65" t="s">
        <v>796</v>
      </c>
      <c r="F454" s="66">
        <v>12705</v>
      </c>
      <c r="G454" s="67">
        <v>46104</v>
      </c>
      <c r="H454" s="66">
        <v>0</v>
      </c>
      <c r="I454" s="49">
        <f t="shared" si="30"/>
        <v>12705</v>
      </c>
      <c r="J454" s="50">
        <f t="shared" ca="1" si="31"/>
        <v>69</v>
      </c>
      <c r="K454" s="50" t="str">
        <f t="shared" ca="1" si="32"/>
        <v>61-90 Days</v>
      </c>
      <c r="L454" s="50" t="str">
        <f t="shared" ca="1" si="29"/>
        <v>Medium</v>
      </c>
      <c r="M454" s="65" t="s">
        <v>729</v>
      </c>
      <c r="N454" s="65" t="str">
        <f>IF(MasterARReport[[#This Row],[Outstanding Amount]]=0, "PAID", "PENDING")</f>
        <v>PENDING</v>
      </c>
    </row>
    <row r="455" spans="1:14" x14ac:dyDescent="0.3">
      <c r="A455" s="63" t="s">
        <v>837</v>
      </c>
      <c r="B455" s="63" t="s">
        <v>729</v>
      </c>
      <c r="C455" s="64">
        <v>46107</v>
      </c>
      <c r="D455" s="65" t="s">
        <v>838</v>
      </c>
      <c r="E455" s="65" t="s">
        <v>796</v>
      </c>
      <c r="F455" s="66">
        <v>666</v>
      </c>
      <c r="G455" s="67">
        <v>46132</v>
      </c>
      <c r="H455" s="66">
        <v>0</v>
      </c>
      <c r="I455" s="49">
        <f t="shared" si="30"/>
        <v>666</v>
      </c>
      <c r="J455" s="50">
        <f t="shared" ca="1" si="31"/>
        <v>41</v>
      </c>
      <c r="K455" s="50" t="str">
        <f t="shared" ca="1" si="32"/>
        <v>31-60 Days</v>
      </c>
      <c r="L455" s="50" t="str">
        <f t="shared" ca="1" si="29"/>
        <v>Low-Medium</v>
      </c>
      <c r="M455" s="65" t="s">
        <v>729</v>
      </c>
      <c r="N455" s="65" t="str">
        <f>IF(MasterARReport[[#This Row],[Outstanding Amount]]=0, "PAID", "PENDING")</f>
        <v>PENDING</v>
      </c>
    </row>
    <row r="456" spans="1:14" x14ac:dyDescent="0.3">
      <c r="A456" s="63" t="s">
        <v>839</v>
      </c>
      <c r="B456" s="63" t="s">
        <v>729</v>
      </c>
      <c r="C456" s="64">
        <v>46108</v>
      </c>
      <c r="D456" s="65" t="s">
        <v>840</v>
      </c>
      <c r="E456" s="65" t="s">
        <v>796</v>
      </c>
      <c r="F456" s="66">
        <v>12705</v>
      </c>
      <c r="G456" s="67">
        <v>46133</v>
      </c>
      <c r="H456" s="66">
        <v>0</v>
      </c>
      <c r="I456" s="49">
        <f t="shared" si="30"/>
        <v>12705</v>
      </c>
      <c r="J456" s="50">
        <f t="shared" ca="1" si="31"/>
        <v>40</v>
      </c>
      <c r="K456" s="50" t="str">
        <f t="shared" ca="1" si="32"/>
        <v>31-60 Days</v>
      </c>
      <c r="L456" s="50" t="str">
        <f t="shared" ca="1" si="29"/>
        <v>Low-Medium</v>
      </c>
      <c r="M456" s="65" t="s">
        <v>729</v>
      </c>
      <c r="N456" s="65" t="str">
        <f>IF(MasterARReport[[#This Row],[Outstanding Amount]]=0, "PAID", "PENDING")</f>
        <v>PENDING</v>
      </c>
    </row>
    <row r="457" spans="1:14" x14ac:dyDescent="0.3">
      <c r="A457" s="63" t="s">
        <v>841</v>
      </c>
      <c r="B457" s="63" t="s">
        <v>729</v>
      </c>
      <c r="C457" s="64">
        <v>46121</v>
      </c>
      <c r="D457" s="65" t="s">
        <v>842</v>
      </c>
      <c r="E457" s="65" t="s">
        <v>796</v>
      </c>
      <c r="F457" s="66">
        <v>13224</v>
      </c>
      <c r="G457" s="67">
        <v>46146</v>
      </c>
      <c r="H457" s="66">
        <v>0</v>
      </c>
      <c r="I457" s="49">
        <f t="shared" si="30"/>
        <v>13224</v>
      </c>
      <c r="J457" s="50">
        <f t="shared" ca="1" si="31"/>
        <v>27</v>
      </c>
      <c r="K457" s="50" t="str">
        <f t="shared" ca="1" si="32"/>
        <v>0-30 Days</v>
      </c>
      <c r="L457" s="50" t="str">
        <f t="shared" ca="1" si="29"/>
        <v>Low</v>
      </c>
      <c r="M457" s="65" t="s">
        <v>729</v>
      </c>
      <c r="N457" s="65" t="str">
        <f>IF(MasterARReport[[#This Row],[Outstanding Amount]]=0, "PAID", "PENDING")</f>
        <v>PENDING</v>
      </c>
    </row>
    <row r="458" spans="1:14" x14ac:dyDescent="0.3">
      <c r="A458" s="63" t="s">
        <v>843</v>
      </c>
      <c r="B458" s="63" t="s">
        <v>729</v>
      </c>
      <c r="C458" s="64">
        <v>46121</v>
      </c>
      <c r="D458" s="65" t="s">
        <v>844</v>
      </c>
      <c r="E458" s="65" t="s">
        <v>796</v>
      </c>
      <c r="F458" s="66">
        <v>25410</v>
      </c>
      <c r="G458" s="67">
        <v>46146</v>
      </c>
      <c r="H458" s="66">
        <v>0</v>
      </c>
      <c r="I458" s="49">
        <f t="shared" si="30"/>
        <v>25410</v>
      </c>
      <c r="J458" s="50">
        <f t="shared" ca="1" si="31"/>
        <v>27</v>
      </c>
      <c r="K458" s="50" t="str">
        <f t="shared" ca="1" si="32"/>
        <v>0-30 Days</v>
      </c>
      <c r="L458" s="50" t="str">
        <f t="shared" ca="1" si="29"/>
        <v>Low</v>
      </c>
      <c r="M458" s="65" t="s">
        <v>729</v>
      </c>
      <c r="N458" s="65" t="str">
        <f>IF(MasterARReport[[#This Row],[Outstanding Amount]]=0, "PAID", "PENDING")</f>
        <v>PENDING</v>
      </c>
    </row>
    <row r="459" spans="1:14" x14ac:dyDescent="0.3">
      <c r="A459" s="63" t="s">
        <v>845</v>
      </c>
      <c r="B459" s="63" t="s">
        <v>729</v>
      </c>
      <c r="C459" s="64">
        <v>46121</v>
      </c>
      <c r="D459" s="65" t="s">
        <v>846</v>
      </c>
      <c r="E459" s="65" t="s">
        <v>796</v>
      </c>
      <c r="F459" s="66">
        <v>3935</v>
      </c>
      <c r="G459" s="67">
        <v>46146</v>
      </c>
      <c r="H459" s="66">
        <v>0</v>
      </c>
      <c r="I459" s="49">
        <f t="shared" si="30"/>
        <v>3935</v>
      </c>
      <c r="J459" s="50">
        <f t="shared" ca="1" si="31"/>
        <v>27</v>
      </c>
      <c r="K459" s="50" t="str">
        <f t="shared" ca="1" si="32"/>
        <v>0-30 Days</v>
      </c>
      <c r="L459" s="50" t="str">
        <f t="shared" ca="1" si="29"/>
        <v>Low</v>
      </c>
      <c r="M459" s="65" t="s">
        <v>729</v>
      </c>
      <c r="N459" s="65" t="str">
        <f>IF(MasterARReport[[#This Row],[Outstanding Amount]]=0, "PAID", "PENDING")</f>
        <v>PENDING</v>
      </c>
    </row>
    <row r="460" spans="1:14" x14ac:dyDescent="0.3">
      <c r="A460" s="63" t="s">
        <v>847</v>
      </c>
      <c r="B460" s="63" t="s">
        <v>729</v>
      </c>
      <c r="C460" s="64">
        <v>46125</v>
      </c>
      <c r="D460" s="65" t="s">
        <v>848</v>
      </c>
      <c r="E460" s="65" t="s">
        <v>796</v>
      </c>
      <c r="F460" s="66">
        <v>12705</v>
      </c>
      <c r="G460" s="67">
        <v>46150</v>
      </c>
      <c r="H460" s="66">
        <v>0</v>
      </c>
      <c r="I460" s="49">
        <f t="shared" si="30"/>
        <v>12705</v>
      </c>
      <c r="J460" s="50">
        <f t="shared" ca="1" si="31"/>
        <v>23</v>
      </c>
      <c r="K460" s="50" t="str">
        <f t="shared" ca="1" si="32"/>
        <v>0-30 Days</v>
      </c>
      <c r="L460" s="50" t="str">
        <f t="shared" ca="1" si="29"/>
        <v>Low</v>
      </c>
      <c r="M460" s="65" t="s">
        <v>729</v>
      </c>
      <c r="N460" s="65" t="str">
        <f>IF(MasterARReport[[#This Row],[Outstanding Amount]]=0, "PAID", "PENDING")</f>
        <v>PENDING</v>
      </c>
    </row>
    <row r="461" spans="1:14" x14ac:dyDescent="0.3">
      <c r="A461" s="63" t="s">
        <v>849</v>
      </c>
      <c r="B461" s="63" t="s">
        <v>729</v>
      </c>
      <c r="C461" s="64">
        <v>46125</v>
      </c>
      <c r="D461" s="65" t="s">
        <v>850</v>
      </c>
      <c r="E461" s="65" t="s">
        <v>796</v>
      </c>
      <c r="F461" s="66">
        <v>12705</v>
      </c>
      <c r="G461" s="67">
        <v>46150</v>
      </c>
      <c r="H461" s="66">
        <v>0</v>
      </c>
      <c r="I461" s="49">
        <f t="shared" si="30"/>
        <v>12705</v>
      </c>
      <c r="J461" s="50">
        <f t="shared" ca="1" si="31"/>
        <v>23</v>
      </c>
      <c r="K461" s="50" t="str">
        <f t="shared" ca="1" si="32"/>
        <v>0-30 Days</v>
      </c>
      <c r="L461" s="50" t="str">
        <f t="shared" ca="1" si="29"/>
        <v>Low</v>
      </c>
      <c r="M461" s="65" t="s">
        <v>729</v>
      </c>
      <c r="N461" s="65" t="str">
        <f>IF(MasterARReport[[#This Row],[Outstanding Amount]]=0, "PAID", "PENDING")</f>
        <v>PENDING</v>
      </c>
    </row>
    <row r="462" spans="1:14" x14ac:dyDescent="0.3">
      <c r="A462" s="63" t="s">
        <v>851</v>
      </c>
      <c r="B462" s="63" t="s">
        <v>729</v>
      </c>
      <c r="C462" s="64">
        <v>46126</v>
      </c>
      <c r="D462" s="65" t="s">
        <v>852</v>
      </c>
      <c r="E462" s="65" t="s">
        <v>796</v>
      </c>
      <c r="F462" s="66">
        <v>12705</v>
      </c>
      <c r="G462" s="67">
        <v>46151</v>
      </c>
      <c r="H462" s="66">
        <v>0</v>
      </c>
      <c r="I462" s="49">
        <f t="shared" si="30"/>
        <v>12705</v>
      </c>
      <c r="J462" s="50">
        <f t="shared" ca="1" si="31"/>
        <v>22</v>
      </c>
      <c r="K462" s="50" t="str">
        <f t="shared" ca="1" si="32"/>
        <v>0-30 Days</v>
      </c>
      <c r="L462" s="50" t="str">
        <f t="shared" ca="1" si="29"/>
        <v>Low</v>
      </c>
      <c r="M462" s="65" t="s">
        <v>729</v>
      </c>
      <c r="N462" s="65" t="str">
        <f>IF(MasterARReport[[#This Row],[Outstanding Amount]]=0, "PAID", "PENDING")</f>
        <v>PENDING</v>
      </c>
    </row>
    <row r="463" spans="1:14" x14ac:dyDescent="0.3">
      <c r="A463" s="63" t="s">
        <v>853</v>
      </c>
      <c r="B463" s="63" t="s">
        <v>729</v>
      </c>
      <c r="C463" s="64">
        <v>46139</v>
      </c>
      <c r="D463" s="65" t="s">
        <v>854</v>
      </c>
      <c r="E463" s="65" t="s">
        <v>796</v>
      </c>
      <c r="F463" s="66">
        <v>12705</v>
      </c>
      <c r="G463" s="67">
        <v>46164</v>
      </c>
      <c r="H463" s="66">
        <v>0</v>
      </c>
      <c r="I463" s="49">
        <f t="shared" si="30"/>
        <v>12705</v>
      </c>
      <c r="J463" s="50">
        <f t="shared" ca="1" si="31"/>
        <v>9</v>
      </c>
      <c r="K463" s="50" t="str">
        <f t="shared" ca="1" si="32"/>
        <v>0-30 Days</v>
      </c>
      <c r="L463" s="50" t="str">
        <f t="shared" ca="1" si="29"/>
        <v>Low</v>
      </c>
      <c r="M463" s="65" t="s">
        <v>729</v>
      </c>
      <c r="N463" s="65" t="str">
        <f>IF(MasterARReport[[#This Row],[Outstanding Amount]]=0, "PAID", "PENDING")</f>
        <v>PENDING</v>
      </c>
    </row>
    <row r="464" spans="1:14" x14ac:dyDescent="0.3">
      <c r="A464" s="63" t="s">
        <v>855</v>
      </c>
      <c r="B464" s="63" t="s">
        <v>729</v>
      </c>
      <c r="C464" s="64">
        <v>46150</v>
      </c>
      <c r="D464" s="65" t="s">
        <v>856</v>
      </c>
      <c r="E464" s="65" t="s">
        <v>796</v>
      </c>
      <c r="F464" s="66">
        <v>8855</v>
      </c>
      <c r="G464" s="67">
        <v>46175</v>
      </c>
      <c r="H464" s="66">
        <v>0</v>
      </c>
      <c r="I464" s="49">
        <f t="shared" si="30"/>
        <v>8855</v>
      </c>
      <c r="J464" s="50">
        <f t="shared" ca="1" si="31"/>
        <v>0</v>
      </c>
      <c r="K464" s="50" t="str">
        <f t="shared" ca="1" si="32"/>
        <v>0-30 Days</v>
      </c>
      <c r="L464" s="50" t="str">
        <f t="shared" ca="1" si="29"/>
        <v>Low</v>
      </c>
      <c r="M464" s="65" t="s">
        <v>729</v>
      </c>
      <c r="N464" s="65" t="str">
        <f>IF(MasterARReport[[#This Row],[Outstanding Amount]]=0, "PAID", "PENDING")</f>
        <v>PENDING</v>
      </c>
    </row>
    <row r="465" spans="1:14" x14ac:dyDescent="0.3">
      <c r="A465" s="63" t="s">
        <v>857</v>
      </c>
      <c r="B465" s="63" t="s">
        <v>729</v>
      </c>
      <c r="C465" s="64">
        <v>46151</v>
      </c>
      <c r="D465" s="65" t="s">
        <v>858</v>
      </c>
      <c r="E465" s="65" t="s">
        <v>796</v>
      </c>
      <c r="F465" s="66">
        <v>7623</v>
      </c>
      <c r="G465" s="67">
        <v>46176</v>
      </c>
      <c r="H465" s="66">
        <v>0</v>
      </c>
      <c r="I465" s="49">
        <f t="shared" si="30"/>
        <v>7623</v>
      </c>
      <c r="J465" s="50">
        <f t="shared" ca="1" si="31"/>
        <v>0</v>
      </c>
      <c r="K465" s="50" t="str">
        <f t="shared" ca="1" si="32"/>
        <v>0-30 Days</v>
      </c>
      <c r="L465" s="50" t="str">
        <f t="shared" ca="1" si="29"/>
        <v>Low</v>
      </c>
      <c r="M465" s="65" t="s">
        <v>729</v>
      </c>
      <c r="N465" s="65" t="str">
        <f>IF(MasterARReport[[#This Row],[Outstanding Amount]]=0, "PAID", "PENDING")</f>
        <v>PENDING</v>
      </c>
    </row>
    <row r="466" spans="1:14" x14ac:dyDescent="0.3">
      <c r="A466" s="63" t="s">
        <v>859</v>
      </c>
      <c r="B466" s="63" t="s">
        <v>729</v>
      </c>
      <c r="C466" s="64">
        <v>46167</v>
      </c>
      <c r="D466" s="65" t="s">
        <v>860</v>
      </c>
      <c r="E466" s="65" t="s">
        <v>796</v>
      </c>
      <c r="F466" s="66">
        <v>8855</v>
      </c>
      <c r="G466" s="67">
        <v>46192</v>
      </c>
      <c r="H466" s="66">
        <v>0</v>
      </c>
      <c r="I466" s="49">
        <f t="shared" si="30"/>
        <v>8855</v>
      </c>
      <c r="J466" s="50">
        <f t="shared" ca="1" si="31"/>
        <v>0</v>
      </c>
      <c r="K466" s="50" t="str">
        <f t="shared" ca="1" si="32"/>
        <v>0-30 Days</v>
      </c>
      <c r="L466" s="50" t="str">
        <f t="shared" ca="1" si="29"/>
        <v>Low</v>
      </c>
      <c r="M466" s="65" t="s">
        <v>729</v>
      </c>
      <c r="N466" s="65" t="str">
        <f>IF(MasterARReport[[#This Row],[Outstanding Amount]]=0, "PAID", "PENDING")</f>
        <v>PENDING</v>
      </c>
    </row>
    <row r="467" spans="1:14" x14ac:dyDescent="0.3">
      <c r="A467" s="63" t="s">
        <v>861</v>
      </c>
      <c r="B467" s="63" t="s">
        <v>513</v>
      </c>
      <c r="C467" s="64">
        <v>46171</v>
      </c>
      <c r="D467" s="65" t="s">
        <v>862</v>
      </c>
      <c r="E467" s="65" t="s">
        <v>700</v>
      </c>
      <c r="F467" s="66">
        <v>6857</v>
      </c>
      <c r="G467" s="67">
        <v>46196</v>
      </c>
      <c r="H467" s="66">
        <v>0</v>
      </c>
      <c r="I467" s="49">
        <f t="shared" si="30"/>
        <v>6857</v>
      </c>
      <c r="J467" s="50">
        <f t="shared" ca="1" si="31"/>
        <v>0</v>
      </c>
      <c r="K467" s="50" t="str">
        <f t="shared" ca="1" si="32"/>
        <v>0-30 Days</v>
      </c>
      <c r="L467" s="50" t="str">
        <f t="shared" ca="1" si="29"/>
        <v>Low</v>
      </c>
      <c r="M467" s="65"/>
      <c r="N467" s="65" t="str">
        <f>IF(MasterARReport[[#This Row],[Outstanding Amount]]=0, "PAID", "PENDING")</f>
        <v>PENDING</v>
      </c>
    </row>
    <row r="468" spans="1:14" x14ac:dyDescent="0.3">
      <c r="A468" s="63" t="s">
        <v>863</v>
      </c>
      <c r="B468" s="63" t="s">
        <v>513</v>
      </c>
      <c r="C468" s="64">
        <v>46171</v>
      </c>
      <c r="D468" s="65" t="s">
        <v>864</v>
      </c>
      <c r="E468" s="65" t="s">
        <v>603</v>
      </c>
      <c r="F468" s="66">
        <v>1132</v>
      </c>
      <c r="G468" s="67">
        <v>46196</v>
      </c>
      <c r="H468" s="66">
        <v>0</v>
      </c>
      <c r="I468" s="49">
        <f t="shared" si="30"/>
        <v>1132</v>
      </c>
      <c r="J468" s="50">
        <f t="shared" ca="1" si="31"/>
        <v>0</v>
      </c>
      <c r="K468" s="50" t="str">
        <f t="shared" ca="1" si="32"/>
        <v>0-30 Days</v>
      </c>
      <c r="L468" s="50" t="str">
        <f t="shared" ca="1" si="29"/>
        <v>Low</v>
      </c>
      <c r="M468" s="65"/>
      <c r="N468" s="65" t="str">
        <f>IF(MasterARReport[[#This Row],[Outstanding Amount]]=0, "PAID", "PENDING")</f>
        <v>PENDING</v>
      </c>
    </row>
    <row r="469" spans="1:14" x14ac:dyDescent="0.3">
      <c r="A469" s="63" t="s">
        <v>865</v>
      </c>
      <c r="B469" s="63" t="s">
        <v>513</v>
      </c>
      <c r="C469" s="64">
        <v>46172</v>
      </c>
      <c r="D469" s="65" t="s">
        <v>866</v>
      </c>
      <c r="E469" s="65" t="s">
        <v>608</v>
      </c>
      <c r="F469" s="66">
        <v>38426</v>
      </c>
      <c r="G469" s="67">
        <v>46197</v>
      </c>
      <c r="H469" s="66">
        <v>0</v>
      </c>
      <c r="I469" s="49">
        <f t="shared" si="30"/>
        <v>38426</v>
      </c>
      <c r="J469" s="50">
        <f t="shared" ca="1" si="31"/>
        <v>0</v>
      </c>
      <c r="K469" s="50" t="str">
        <f t="shared" ca="1" si="32"/>
        <v>0-30 Days</v>
      </c>
      <c r="L469" s="50" t="str">
        <f t="shared" ref="L469:L472" ca="1" si="33">IF(I469&lt;=0,"-",IF(J469&lt;=30,"Low",IF(J469&lt;=60,"Low-Medium",IF(J469&lt;=90,"Medium","HIGH RISK"))))</f>
        <v>Low</v>
      </c>
      <c r="M469" s="65"/>
      <c r="N469" s="65" t="str">
        <f>IF(MasterARReport[[#This Row],[Outstanding Amount]]=0, "PAID", "PENDING")</f>
        <v>PENDING</v>
      </c>
    </row>
    <row r="470" spans="1:14" x14ac:dyDescent="0.3">
      <c r="A470" s="63" t="s">
        <v>867</v>
      </c>
      <c r="B470" s="63" t="s">
        <v>358</v>
      </c>
      <c r="C470" s="64">
        <v>46171</v>
      </c>
      <c r="D470" s="65" t="s">
        <v>868</v>
      </c>
      <c r="E470" s="65" t="s">
        <v>465</v>
      </c>
      <c r="F470" s="66">
        <v>5875</v>
      </c>
      <c r="G470" s="67">
        <v>46196</v>
      </c>
      <c r="H470" s="66">
        <v>0</v>
      </c>
      <c r="I470" s="49">
        <f t="shared" si="30"/>
        <v>5875</v>
      </c>
      <c r="J470" s="50">
        <f t="shared" ca="1" si="31"/>
        <v>0</v>
      </c>
      <c r="K470" s="50" t="str">
        <f t="shared" ca="1" si="32"/>
        <v>0-30 Days</v>
      </c>
      <c r="L470" s="50" t="str">
        <f t="shared" ca="1" si="33"/>
        <v>Low</v>
      </c>
      <c r="M470" s="65"/>
      <c r="N470" s="65" t="str">
        <f>IF(MasterARReport[[#This Row],[Outstanding Amount]]=0, "PAID", "PENDING")</f>
        <v>PENDING</v>
      </c>
    </row>
    <row r="471" spans="1:14" x14ac:dyDescent="0.3">
      <c r="A471" s="63" t="s">
        <v>218</v>
      </c>
      <c r="B471" s="63" t="s">
        <v>14</v>
      </c>
      <c r="C471" s="64">
        <v>46171</v>
      </c>
      <c r="D471" s="65" t="s">
        <v>219</v>
      </c>
      <c r="E471" s="65" t="s">
        <v>152</v>
      </c>
      <c r="F471" s="66">
        <v>4978</v>
      </c>
      <c r="G471" s="67">
        <v>46196</v>
      </c>
      <c r="H471" s="66">
        <v>0</v>
      </c>
      <c r="I471" s="49">
        <f t="shared" si="30"/>
        <v>4978</v>
      </c>
      <c r="J471" s="50">
        <f t="shared" ca="1" si="31"/>
        <v>0</v>
      </c>
      <c r="K471" s="50" t="str">
        <f t="shared" ca="1" si="32"/>
        <v>0-30 Days</v>
      </c>
      <c r="L471" s="50" t="str">
        <f t="shared" ca="1" si="33"/>
        <v>Low</v>
      </c>
      <c r="M471" s="65"/>
      <c r="N471" s="65" t="str">
        <f>IF(MasterARReport[[#This Row],[Outstanding Amount]]=0, "PAID", "PENDING")</f>
        <v>PENDING</v>
      </c>
    </row>
    <row r="472" spans="1:14" x14ac:dyDescent="0.3">
      <c r="A472" s="63" t="s">
        <v>220</v>
      </c>
      <c r="B472" s="63" t="s">
        <v>14</v>
      </c>
      <c r="C472" s="64">
        <v>46146</v>
      </c>
      <c r="D472" s="65" t="s">
        <v>221</v>
      </c>
      <c r="E472" s="65" t="s">
        <v>222</v>
      </c>
      <c r="F472" s="66">
        <v>15450</v>
      </c>
      <c r="G472" s="67">
        <v>46146</v>
      </c>
      <c r="H472" s="66">
        <v>0</v>
      </c>
      <c r="I472" s="49">
        <f t="shared" si="30"/>
        <v>15450</v>
      </c>
      <c r="J472" s="50">
        <f t="shared" ca="1" si="31"/>
        <v>27</v>
      </c>
      <c r="K472" s="50" t="str">
        <f t="shared" ca="1" si="32"/>
        <v>0-30 Days</v>
      </c>
      <c r="L472" s="50" t="str">
        <f t="shared" ca="1" si="33"/>
        <v>Low</v>
      </c>
      <c r="M472" s="65" t="s">
        <v>223</v>
      </c>
      <c r="N472" s="65" t="str">
        <f>IF(MasterARReport[[#This Row],[Outstanding Amount]]=0, "PAID", "PENDING")</f>
        <v>PENDING</v>
      </c>
    </row>
  </sheetData>
  <conditionalFormatting sqref="A2:N339 M340:N340 A341:N384 A340:K340 I385:L472">
    <cfRule type="expression" dxfId="18" priority="3" stopIfTrue="1">
      <formula>$N2="PAID"</formula>
    </cfRule>
  </conditionalFormatting>
  <conditionalFormatting sqref="L340">
    <cfRule type="expression" dxfId="17" priority="2" stopIfTrue="1">
      <formula>$N340="PAID"</formula>
    </cfRule>
  </conditionalFormatting>
  <conditionalFormatting sqref="N2:N472">
    <cfRule type="containsText" dxfId="16" priority="1" operator="containsText" text="PENDING">
      <formula>NOT(ISERROR(SEARCH("PENDING",N2)))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Anjani Kumar Mishra</cp:lastModifiedBy>
  <dcterms:modified xsi:type="dcterms:W3CDTF">2026-05-31T08:57:55Z</dcterms:modified>
</cp:coreProperties>
</file>